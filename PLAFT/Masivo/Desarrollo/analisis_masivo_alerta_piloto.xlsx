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3b309031f594a35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interbankpe-my.sharepoint.com/personal/shernandez2_intercorp_com_pe/Documents/PLAFT/Masivo/Desarrollo/"/>
    </mc:Choice>
  </mc:AlternateContent>
  <bookViews>
    <workbookView xWindow="-28920" yWindow="-1095" windowWidth="29040" windowHeight="15720" firstSheet="1" activeTab="1" xr2:uid="{43AEF18F-3344-49A0-86B7-BD449DB522C2}"/>
  </bookViews>
  <sheets>
    <sheet name="Hoja2" sheetId="2" r:id="rId1"/>
    <sheet name="Hoja1" sheetId="1" r:id="rId2"/>
    <sheet name="Hoja3" sheetId="3" r:id="rId3"/>
  </sheets>
  <definedNames>
    <definedName name="_xlnm._FilterDatabase" localSheetId="1" hidden="1">Hoja1!$A$1:$L$123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5" i="1" l="1"/>
  <c r="L104" i="1"/>
  <c r="L101" i="1"/>
  <c r="L88" i="1"/>
  <c r="L79" i="1"/>
  <c r="L74" i="1"/>
  <c r="L73" i="1"/>
  <c r="L71" i="1"/>
  <c r="L69" i="1"/>
  <c r="L56" i="1"/>
  <c r="L55" i="1"/>
  <c r="L49" i="1"/>
  <c r="L46" i="1"/>
  <c r="L45" i="1"/>
  <c r="L40" i="1"/>
  <c r="L36" i="1"/>
  <c r="L30" i="1"/>
  <c r="L28" i="1"/>
  <c r="L26" i="1"/>
  <c r="L21" i="1"/>
  <c r="L17" i="1"/>
  <c r="L14" i="1"/>
  <c r="L13" i="1"/>
  <c r="L12" i="1"/>
  <c r="L6" i="1"/>
  <c r="L3" i="1"/>
  <c r="L2" i="1"/>
</calcChain>
</file>

<file path=xl/sharedStrings.xml><?xml version="1.0" encoding="utf-8"?>
<sst xmlns="http://schemas.openxmlformats.org/spreadsheetml/2006/main" count="591" uniqueCount="198">
  <si>
    <t>CU</t>
  </si>
  <si>
    <t>CODUNICO</t>
  </si>
  <si>
    <t>Documento</t>
  </si>
  <si>
    <t>Nombre Cliente</t>
  </si>
  <si>
    <t>Analista</t>
  </si>
  <si>
    <t>Calificación</t>
  </si>
  <si>
    <t>Observaciones</t>
  </si>
  <si>
    <t>nueva calificación</t>
  </si>
  <si>
    <t>SCORE</t>
  </si>
  <si>
    <t>VALOR</t>
  </si>
  <si>
    <t>RANGO</t>
  </si>
  <si>
    <t xml:space="preserve">Max Fecha alerta </t>
  </si>
  <si>
    <t>DIAZ RUBIO CARLOS MARTIN ALEJANDRO</t>
  </si>
  <si>
    <t>Michael Pinillos</t>
  </si>
  <si>
    <t>SIN RIESGO</t>
  </si>
  <si>
    <t>ROS reciente</t>
  </si>
  <si>
    <t>Con riesgo</t>
  </si>
  <si>
    <t>CORTEZ GALVEZ RUDY MADELEINE</t>
  </si>
  <si>
    <t>Carolina Aranda</t>
  </si>
  <si>
    <t>CON RIESGO</t>
  </si>
  <si>
    <t>ampliación de ROS</t>
  </si>
  <si>
    <t>ARANDA ROMERO MANUEL ROGER</t>
  </si>
  <si>
    <t>David Solano</t>
  </si>
  <si>
    <t>Con Riesgo</t>
  </si>
  <si>
    <t>Ferretero</t>
  </si>
  <si>
    <t>RAMOS CASTAÑEDA MARY JHOSSELYN</t>
  </si>
  <si>
    <t>Lorena Hidalgo</t>
  </si>
  <si>
    <t>Sin riesgo</t>
  </si>
  <si>
    <t>Comunero de Llacuabamba</t>
  </si>
  <si>
    <t>PEREZ CUZCANO EVELYN MARLENE</t>
  </si>
  <si>
    <t>Reportado en el último semestre</t>
  </si>
  <si>
    <t>ALVAREZ ASPIROS FIDELA ROSA</t>
  </si>
  <si>
    <t>AYALA SANCHEZ ANIBAL JHON</t>
  </si>
  <si>
    <t>Alessander Montañez</t>
  </si>
  <si>
    <t>Sin Riesgo</t>
  </si>
  <si>
    <t>HENRIQUEZ VASQUEZ NEDER JOSE</t>
  </si>
  <si>
    <t>Juan Scudellari</t>
  </si>
  <si>
    <t>FLORES ESCALANTE BRAYAN LEONEL</t>
  </si>
  <si>
    <t>RODRIGUEZ PAREDES DEYSON MIGUEL</t>
  </si>
  <si>
    <t>QUISPE LAURA ALEJO</t>
  </si>
  <si>
    <t>Angie Mendoza</t>
  </si>
  <si>
    <t>Reportado 202604</t>
  </si>
  <si>
    <t>ALVAREZ PAITAMPOMA CHRISTIAN ROBERTO</t>
  </si>
  <si>
    <t>Reportado en los últimos 6 meses</t>
  </si>
  <si>
    <t>OLORTEGUI GUEVARA JOSEF ANTONIO</t>
  </si>
  <si>
    <t>Tiene caso en proceso</t>
  </si>
  <si>
    <t>BALLENA ARAUJO WALTER NICOLAS</t>
  </si>
  <si>
    <t>ROJAS ANAMPA MAYKOL DENIS</t>
  </si>
  <si>
    <t>Comunero Llacuabamba</t>
  </si>
  <si>
    <t>ESPEJO HERRERA EDUARDO JOSE</t>
  </si>
  <si>
    <t>CLIENTE EN COLA DE DESVINCULACION</t>
  </si>
  <si>
    <t>ZELADA YANTAS KAROLI JESMY</t>
  </si>
  <si>
    <t>CRUZ CASTAÑEDA CELIA MARY LUZ</t>
  </si>
  <si>
    <t>ORTIZ PINEDA JUAN ANTONIO</t>
  </si>
  <si>
    <t>contraparte reportada</t>
  </si>
  <si>
    <t>PEREZ QUISPE EFRAIN</t>
  </si>
  <si>
    <t>Cliente con caso en Investigación</t>
  </si>
  <si>
    <t>GONZALEZ DEL AGUILA LUIS DAVID</t>
  </si>
  <si>
    <t>DOMINGUEZ LOPEZ ISELA CARMEN</t>
  </si>
  <si>
    <t>QUISPE SANTOS JHENYFER PAOLA</t>
  </si>
  <si>
    <t>PEREZ TAFUR DE LOPEZ MARIESTHER CAROLINA</t>
  </si>
  <si>
    <t>OYARCE VENAUTE SANDRA YOBANA</t>
  </si>
  <si>
    <t>Recientemente reportado</t>
  </si>
  <si>
    <t>LUNA MORALES JOSE LUIS</t>
  </si>
  <si>
    <t>HUAYNATE ALVARO POOL JOSHI</t>
  </si>
  <si>
    <t>MARGARIN CASTAÑEDA WALDY ELIFIO</t>
  </si>
  <si>
    <t>HUAMANI CACERES NIDIA BEATRIZ</t>
  </si>
  <si>
    <t>HUAQUI RAMOS ROSI ALVINA</t>
  </si>
  <si>
    <t>MORILLO GUILLEN ALFONSO</t>
  </si>
  <si>
    <t>Comunero llacuabamba</t>
  </si>
  <si>
    <t>AVILES AVILA CHRISTIAN ENRIQUEZ</t>
  </si>
  <si>
    <t>ZACONETTY LOJA EDGAR ANTONIO</t>
  </si>
  <si>
    <t>PUMA YUCRA FELIX WILFREDO</t>
  </si>
  <si>
    <t>BAUTISTA FLORIAN JORGE JOEL</t>
  </si>
  <si>
    <t>Reportado en 2026-06</t>
  </si>
  <si>
    <t>ACUÑA BOCANEGRA KARLA FIORELLY</t>
  </si>
  <si>
    <t>SAAVEDRA CASTAÑEDA HERNAN</t>
  </si>
  <si>
    <t>Comunero llacuabamba que recibe ingresos relevantes de contraparte reportada en 2026</t>
  </si>
  <si>
    <t>IBVC PERU S.A.C.</t>
  </si>
  <si>
    <t>VILLANUEVA SILVA ELIAS</t>
  </si>
  <si>
    <t>SICCHA PEÑA DENIS REYNALDO</t>
  </si>
  <si>
    <t>VILLARREAL GUTIERREZ KAROL MARIE</t>
  </si>
  <si>
    <t>ESTRADA CASTAÑEDA RICHARD GAYEQUER</t>
  </si>
  <si>
    <t>CASTAÑEDA TERRONES TEODORO</t>
  </si>
  <si>
    <t>MELENDEZ ARISTA GEIDY</t>
  </si>
  <si>
    <t>Tenia caso en proceso</t>
  </si>
  <si>
    <t>LOZANO SAAVEDRA AGUSTIN</t>
  </si>
  <si>
    <t>Cliente reportado en 2026-03</t>
  </si>
  <si>
    <t>FLORES MEDINA KEREN DAYANA</t>
  </si>
  <si>
    <t>GUILLEN ACUÑA INGRID DEL ROSARIO</t>
  </si>
  <si>
    <t>ROMERO GOMEZ DAVID ERASMO</t>
  </si>
  <si>
    <t>COLINA CESAR CESAR</t>
  </si>
  <si>
    <t>VALENTIN JESUS ELSA MARGOT</t>
  </si>
  <si>
    <t>HERNANDEZ TRONCOSO LUIGGI ALEXIS</t>
  </si>
  <si>
    <t>Registra una sola operación de PEN750 como ejecutante, no debería generar alerta</t>
  </si>
  <si>
    <t>SUAREZ RIOS SORAYDA</t>
  </si>
  <si>
    <t>RUBIO MARCOVICH ISMAEL</t>
  </si>
  <si>
    <t>AGUILAR CALDERON PASCUAL</t>
  </si>
  <si>
    <t>VILLANUEVA TORREALVA DANILO CALIN</t>
  </si>
  <si>
    <t>Cliente reportado en abr26</t>
  </si>
  <si>
    <t>LLAMOCCA QUISPE RAFAEL ANGEL</t>
  </si>
  <si>
    <t>ZEGARRA CHAVEZ GASPAR ALEXANDER</t>
  </si>
  <si>
    <t>Sin casos ni alertas previas</t>
  </si>
  <si>
    <t>GARAY MARTINEZ NELIDA</t>
  </si>
  <si>
    <t>venta de papa sin sustentos</t>
  </si>
  <si>
    <t>ESPEJO DIAZ OLGA LILIANA</t>
  </si>
  <si>
    <t>RAMIREZ ECHEGARAY CALLY CRISTOPHER</t>
  </si>
  <si>
    <t>Cliente sin operativa</t>
  </si>
  <si>
    <t>RODRIGUEZ PALACIOS FRANCISCO</t>
  </si>
  <si>
    <t>CASTAÑEDA RAMOS WILIAN EYNE</t>
  </si>
  <si>
    <t>MEZA PAREDES WILSON LUIS</t>
  </si>
  <si>
    <t>Comunero llacuabamba, ROS, caso revisado en marzo 2026</t>
  </si>
  <si>
    <t>VILLANUEVA TORRES FRANK ELEAZAR</t>
  </si>
  <si>
    <t>Comunero llacuabamba que recibe ingresos de terceros</t>
  </si>
  <si>
    <t>SILVA HENRIQUEZ SARITA YOVANY</t>
  </si>
  <si>
    <t>GUTIERREZ BECERRA OLGA LIDIA</t>
  </si>
  <si>
    <t>RAMOS CASTAÑEDA ZARELA</t>
  </si>
  <si>
    <t>REYES MORALES RODA HERMINIA DEL PILAR</t>
  </si>
  <si>
    <t>ANDRADE LOCK BETSY WEN</t>
  </si>
  <si>
    <t>Cliente select, con cuentas mancomuna, empresario, alto nivel de endeudamiento en sentinel</t>
  </si>
  <si>
    <t>GALVEZ CONDORI WALTER SALVADOR</t>
  </si>
  <si>
    <t>Caso en curso - ROS</t>
  </si>
  <si>
    <t>PEREZ VILLENA SHANTY MONICA</t>
  </si>
  <si>
    <t>ZALDAÑA BERMUDEZ CLEVER ISAIAS</t>
  </si>
  <si>
    <t>ZUMARAN ZUMARAN JOSE CARLOS</t>
  </si>
  <si>
    <t>Cliente revisado en enero 2026 por caso</t>
  </si>
  <si>
    <t>RUBIO ROMERO ROSSLY</t>
  </si>
  <si>
    <t>MARCOS BRICEÑO SILVIA SOLEDAD</t>
  </si>
  <si>
    <t>DIAZ SAAVEDRA PETER WILSON</t>
  </si>
  <si>
    <t>CHAMAN ARANA CELIA</t>
  </si>
  <si>
    <t>PEREZ VALER TORIBIO ERNESTO</t>
  </si>
  <si>
    <t>Reportado en 206-03</t>
  </si>
  <si>
    <t>VARGAS FIGUEROA GIANFRANCO JOSE</t>
  </si>
  <si>
    <t>MARREROS SILVA CESAR LEONIDAS</t>
  </si>
  <si>
    <t>CORONEL CURO EMEL MANUEL</t>
  </si>
  <si>
    <t>Cliente select, alta nivel de endeudamiento en sentinel</t>
  </si>
  <si>
    <t>HENRIQUEZ VASQUEZ WILSON FLORENCIO</t>
  </si>
  <si>
    <t>CASTAÑEDA MUÑOZ MIGUEL ADRIAN</t>
  </si>
  <si>
    <t>SILVA MENDOZA EVERT</t>
  </si>
  <si>
    <t>CASTAÑEDA TOLENTINO RONALDO SANTOS</t>
  </si>
  <si>
    <t>GARCIA DIAZ JESUS ANGEL</t>
  </si>
  <si>
    <t>Negocio de Venta de Combustible</t>
  </si>
  <si>
    <t>HUERTA ALVARADO MASIAS ROGELIO</t>
  </si>
  <si>
    <t>Reportado 202603</t>
  </si>
  <si>
    <t>CONDORI LAZO MAXIMILIANO</t>
  </si>
  <si>
    <t>ROSALES VASQUEZ JUAN CARLOS</t>
  </si>
  <si>
    <t>MENDOZA ACUÑA ALVARO CRISTINO</t>
  </si>
  <si>
    <t>HUAMAN COSTILLA EVELYN</t>
  </si>
  <si>
    <t>RAZZETO GUEVARA CHRISTIAN RAFAEL MORONI</t>
  </si>
  <si>
    <t>HUAYTA CANTORAL JACKQUELIN NOEMI</t>
  </si>
  <si>
    <t>JANCCO CASILLA CRISTOBAL</t>
  </si>
  <si>
    <t>VILLACRES BARON ZOILA ELIZABETH</t>
  </si>
  <si>
    <t>ROBLES GUTARRA EVELYN ADRIANA</t>
  </si>
  <si>
    <t>GALVEZ RODRIGUEZ ANGELICA</t>
  </si>
  <si>
    <t>ALCOCER MEZA GRICELL</t>
  </si>
  <si>
    <t>SAPACAYO USCAMAYTA MARIA DEL CARMEN</t>
  </si>
  <si>
    <t>Revisar este caso, pues el cliente no registraba operativa. Se saco journal por fuera y tampoco se identificó nada.</t>
  </si>
  <si>
    <t>PEREZ SANTIAGO FOCIFINA EVA</t>
  </si>
  <si>
    <t>PACHECO PILARES AXEL JAFFAR</t>
  </si>
  <si>
    <t>LAZO PASCUAL MONICA MARIA</t>
  </si>
  <si>
    <t>ORDOÑEZ SANCHEZ DAVID MARTIN</t>
  </si>
  <si>
    <t>Reportado en 2026-02</t>
  </si>
  <si>
    <t>INOCENTE YLLESCA RAUL</t>
  </si>
  <si>
    <t>Cliente desvinculado en may26</t>
  </si>
  <si>
    <t>PEREZ SOTO PABLO ADRIAN</t>
  </si>
  <si>
    <t>RIVERA MEDINA VANESSA</t>
  </si>
  <si>
    <t>URIARTE VALDEZ JAIME</t>
  </si>
  <si>
    <t>No hay operativa materia de ROS, solicitar desvinculación prioritaria.</t>
  </si>
  <si>
    <t>MORENO ABURTO ANANIAS ELEODORO</t>
  </si>
  <si>
    <t>CONDORI ARIAS ALFONSO</t>
  </si>
  <si>
    <t>VALENTIN SANCHEZ DENIS JOEL</t>
  </si>
  <si>
    <t>YAURI ATAUCUSI MERCEDES</t>
  </si>
  <si>
    <t>CARRION ALTAMIRANO YANELA YANIRA</t>
  </si>
  <si>
    <t>TORREALVA ALVAREZ MARCO ANTONIO</t>
  </si>
  <si>
    <t>CORREA CHAVEZ CESAR AUGUSTO</t>
  </si>
  <si>
    <t>REYNALDO NORABUENA FORTUNATO JESUS</t>
  </si>
  <si>
    <t>BELIZARIO MAMANI GUZMAN</t>
  </si>
  <si>
    <t>PALOMINO SOTELO WILLIAM ALFREDO</t>
  </si>
  <si>
    <t>HUERTA ALFARO WILLIAM ARTURO</t>
  </si>
  <si>
    <t>Venta de Combustible</t>
  </si>
  <si>
    <t>UGARTE ARAGON DANIEL ALCIDES</t>
  </si>
  <si>
    <t>DAMACEN BOCANEGRA JOSE ARMANDO</t>
  </si>
  <si>
    <t>MANRIQUE GALDO ANTONELLA CAROLINA</t>
  </si>
  <si>
    <t>FERIA BANCAYAN INES MARIA</t>
  </si>
  <si>
    <t>codunico</t>
  </si>
  <si>
    <t>periodo</t>
  </si>
  <si>
    <t>#</t>
  </si>
  <si>
    <t>2026-01</t>
  </si>
  <si>
    <t>2025-12</t>
  </si>
  <si>
    <t>2026-06</t>
  </si>
  <si>
    <t>2025-10</t>
  </si>
  <si>
    <t>2025-08</t>
  </si>
  <si>
    <t>2025-09</t>
  </si>
  <si>
    <t>2026-05</t>
  </si>
  <si>
    <t>2026-02</t>
  </si>
  <si>
    <t>2025-07</t>
  </si>
  <si>
    <t>2026-03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</si>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</sst>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B4B4BB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3" borderId="0" xfId="0" applyFont="1" applyFill="1"/>
    <xf numFmtId="0" fontId="2" fillId="4" borderId="1" xfId="0" applyFont="1" applyFill="1" applyBorder="1"/>
    <xf numFmtId="0" fontId="2" fillId="4" borderId="3" xfId="0" applyFont="1" applyFill="1" applyBorder="1"/>
    <xf numFmtId="0" fontId="2" fillId="5" borderId="1" xfId="0" applyFont="1" applyFill="1" applyBorder="1"/>
    <xf numFmtId="0" fontId="2" fillId="5" borderId="0" xfId="0" applyFont="1" applyFill="1"/>
    <xf numFmtId="0" fontId="2" fillId="6" borderId="0" xfId="0" applyFont="1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58C2-04BB-404F-A7DD-B09EF0279493}">
  <dimension ref="A2:A28"/>
  <sheetViews>
    <sheetView workbookViewId="0">
      <selection activeCell="B1" sqref="B1:B1048576"/>
    </sheetView>
  </sheetViews>
  <sheetFormatPr defaultColWidth="11.42578125" defaultRowHeight="14.45"/>
  <cols>
    <col min="1" max="1" width="16.42578125" customWidth="1"/>
  </cols>
  <sheetData>
    <row r="2" spans="1:1">
      <c r="A2" s="5">
        <v>17993082</v>
      </c>
    </row>
    <row r="3" spans="1:1">
      <c r="A3" s="5">
        <v>13019098</v>
      </c>
    </row>
    <row r="4" spans="1:1">
      <c r="A4" s="5">
        <v>10980475</v>
      </c>
    </row>
    <row r="5" spans="1:1">
      <c r="A5" s="5">
        <v>10235507</v>
      </c>
    </row>
    <row r="6" spans="1:1">
      <c r="A6" s="5">
        <v>14702163</v>
      </c>
    </row>
    <row r="7" spans="1:1">
      <c r="A7" s="5">
        <v>15523553</v>
      </c>
    </row>
    <row r="8" spans="1:1">
      <c r="A8" s="5">
        <v>11471954</v>
      </c>
    </row>
    <row r="9" spans="1:1">
      <c r="A9" s="5">
        <v>12379177</v>
      </c>
    </row>
    <row r="10" spans="1:1">
      <c r="A10" s="5">
        <v>11464736</v>
      </c>
    </row>
    <row r="11" spans="1:1">
      <c r="A11" s="5">
        <v>11446874</v>
      </c>
    </row>
    <row r="12" spans="1:1">
      <c r="A12" s="5">
        <v>13186732</v>
      </c>
    </row>
    <row r="13" spans="1:1">
      <c r="A13" s="5">
        <v>12168387</v>
      </c>
    </row>
    <row r="14" spans="1:1">
      <c r="A14" s="5">
        <v>13199373</v>
      </c>
    </row>
    <row r="15" spans="1:1">
      <c r="A15" s="5">
        <v>9436194</v>
      </c>
    </row>
    <row r="16" spans="1:1">
      <c r="A16" s="5">
        <v>11513557</v>
      </c>
    </row>
    <row r="17" spans="1:1">
      <c r="A17" s="5">
        <v>15681866</v>
      </c>
    </row>
    <row r="18" spans="1:1">
      <c r="A18" s="5">
        <v>15092682</v>
      </c>
    </row>
    <row r="19" spans="1:1">
      <c r="A19" s="5">
        <v>16479861</v>
      </c>
    </row>
    <row r="20" spans="1:1">
      <c r="A20" s="5">
        <v>11073592</v>
      </c>
    </row>
    <row r="21" spans="1:1">
      <c r="A21" s="5">
        <v>9889574</v>
      </c>
    </row>
    <row r="22" spans="1:1">
      <c r="A22" s="5">
        <v>13222658</v>
      </c>
    </row>
    <row r="23" spans="1:1">
      <c r="A23" s="5">
        <v>13871357</v>
      </c>
    </row>
    <row r="24" spans="1:1">
      <c r="A24" s="5">
        <v>11851541</v>
      </c>
    </row>
    <row r="25" spans="1:1">
      <c r="A25" s="5">
        <v>7471808</v>
      </c>
    </row>
    <row r="26" spans="1:1">
      <c r="A26" s="5">
        <v>6481097</v>
      </c>
    </row>
    <row r="27" spans="1:1">
      <c r="A27" s="5">
        <v>11767818</v>
      </c>
    </row>
    <row r="28" spans="1:1">
      <c r="A28" s="5">
        <v>14937506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46B1-185F-4AFF-8662-EF64C0103D43}">
  <sheetPr filterMode="1"/>
  <dimension ref="A1:L123"/>
  <sheetViews>
    <sheetView tabSelected="1" workbookViewId="0">
      <selection activeCell="F28" sqref="F28"/>
    </sheetView>
  </sheetViews>
  <sheetFormatPr defaultColWidth="11.42578125" defaultRowHeight="14.45"/>
  <cols>
    <col min="4" max="4" width="36.5703125" customWidth="1"/>
    <col min="5" max="5" width="44.85546875" customWidth="1"/>
    <col min="7" max="7" width="57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>
        <v>17993082</v>
      </c>
      <c r="B2" s="5">
        <v>17993082</v>
      </c>
      <c r="C2" s="5">
        <v>72657054</v>
      </c>
      <c r="D2" s="5" t="s">
        <v>12</v>
      </c>
      <c r="E2" s="5" t="s">
        <v>13</v>
      </c>
      <c r="F2" s="6" t="s">
        <v>14</v>
      </c>
      <c r="G2" s="15" t="s">
        <v>15</v>
      </c>
      <c r="H2" s="7" t="s">
        <v>16</v>
      </c>
      <c r="I2" s="7">
        <v>0.99790480000000004</v>
      </c>
      <c r="J2" s="7">
        <v>1</v>
      </c>
      <c r="K2" s="7">
        <v>1</v>
      </c>
      <c r="L2" s="24" t="str">
        <f>VLOOKUP(B2,Hoja3!$B$2:$C$30,2,FALSE)</f>
        <v>2026-06</v>
      </c>
    </row>
    <row r="3" spans="1:12">
      <c r="A3" s="5">
        <v>13019098</v>
      </c>
      <c r="B3" s="5">
        <v>13019098</v>
      </c>
      <c r="C3" s="5">
        <v>9663930</v>
      </c>
      <c r="D3" s="5" t="s">
        <v>17</v>
      </c>
      <c r="E3" s="5" t="s">
        <v>18</v>
      </c>
      <c r="F3" s="5" t="s">
        <v>19</v>
      </c>
      <c r="G3" s="15" t="s">
        <v>20</v>
      </c>
      <c r="H3" s="8" t="s">
        <v>16</v>
      </c>
      <c r="I3" s="7">
        <v>0.99783820000000001</v>
      </c>
      <c r="J3" s="7">
        <v>2</v>
      </c>
      <c r="K3" s="7">
        <v>1</v>
      </c>
      <c r="L3" s="24" t="str">
        <f>VLOOKUP(B3,Hoja3!$B$2:$C$30,2,FALSE)</f>
        <v>2025-07</v>
      </c>
    </row>
    <row r="4" spans="1:12" hidden="1">
      <c r="A4" s="5">
        <v>14392145</v>
      </c>
      <c r="B4" s="5">
        <v>14392145</v>
      </c>
      <c r="C4" s="5">
        <v>43164623</v>
      </c>
      <c r="D4" s="5" t="s">
        <v>21</v>
      </c>
      <c r="E4" s="5" t="s">
        <v>22</v>
      </c>
      <c r="F4" s="5" t="s">
        <v>23</v>
      </c>
      <c r="G4" s="5" t="s">
        <v>24</v>
      </c>
      <c r="H4" s="8" t="s">
        <v>16</v>
      </c>
      <c r="I4" s="7">
        <v>0.99744739999999998</v>
      </c>
      <c r="J4" s="7">
        <v>3</v>
      </c>
      <c r="K4" s="7">
        <v>1</v>
      </c>
    </row>
    <row r="5" spans="1:12" hidden="1">
      <c r="A5" s="5">
        <v>15085930</v>
      </c>
      <c r="B5" s="5">
        <v>15085930</v>
      </c>
      <c r="C5" s="5">
        <v>73873021</v>
      </c>
      <c r="D5" s="5" t="s">
        <v>25</v>
      </c>
      <c r="E5" s="5" t="s">
        <v>26</v>
      </c>
      <c r="F5" s="5" t="s">
        <v>27</v>
      </c>
      <c r="G5" s="5" t="s">
        <v>28</v>
      </c>
      <c r="H5" s="8" t="s">
        <v>27</v>
      </c>
      <c r="I5" s="7">
        <v>0.99715600000000004</v>
      </c>
      <c r="J5" s="7">
        <v>4</v>
      </c>
      <c r="K5" s="7">
        <v>1</v>
      </c>
    </row>
    <row r="6" spans="1:12">
      <c r="A6" s="5">
        <v>10980475</v>
      </c>
      <c r="B6" s="5">
        <v>10980475</v>
      </c>
      <c r="C6" s="5">
        <v>43589523</v>
      </c>
      <c r="D6" s="5" t="s">
        <v>29</v>
      </c>
      <c r="E6" s="5" t="s">
        <v>13</v>
      </c>
      <c r="F6" s="5" t="s">
        <v>14</v>
      </c>
      <c r="G6" s="15" t="s">
        <v>30</v>
      </c>
      <c r="H6" s="7" t="s">
        <v>16</v>
      </c>
      <c r="I6" s="7">
        <v>0.99683520000000003</v>
      </c>
      <c r="J6" s="7">
        <v>5</v>
      </c>
      <c r="K6" s="7">
        <v>1</v>
      </c>
      <c r="L6" s="25" t="str">
        <f>VLOOKUP(B6,Hoja3!$B$2:$C$30,2,FALSE)</f>
        <v>2026-03</v>
      </c>
    </row>
    <row r="7" spans="1:12" hidden="1">
      <c r="A7" s="5">
        <v>16524108</v>
      </c>
      <c r="B7" s="5">
        <v>16524108</v>
      </c>
      <c r="C7" s="5">
        <v>19434571</v>
      </c>
      <c r="D7" s="5" t="s">
        <v>31</v>
      </c>
      <c r="E7" s="5" t="s">
        <v>26</v>
      </c>
      <c r="F7" s="5" t="s">
        <v>16</v>
      </c>
      <c r="G7" s="5"/>
      <c r="H7" s="8" t="s">
        <v>16</v>
      </c>
      <c r="I7" s="7">
        <v>0.99667125999999995</v>
      </c>
      <c r="J7" s="7">
        <v>6</v>
      </c>
      <c r="K7" s="7">
        <v>1</v>
      </c>
    </row>
    <row r="8" spans="1:12" hidden="1">
      <c r="A8" s="5">
        <v>12171100</v>
      </c>
      <c r="B8" s="5">
        <v>12171100</v>
      </c>
      <c r="C8" s="5">
        <v>42568498</v>
      </c>
      <c r="D8" s="5" t="s">
        <v>32</v>
      </c>
      <c r="E8" s="5" t="s">
        <v>33</v>
      </c>
      <c r="F8" s="5" t="s">
        <v>34</v>
      </c>
      <c r="G8" s="5"/>
      <c r="H8" s="8" t="s">
        <v>27</v>
      </c>
      <c r="I8" s="7">
        <v>0.99658513000000004</v>
      </c>
      <c r="J8" s="7">
        <v>7</v>
      </c>
      <c r="K8" s="7">
        <v>1</v>
      </c>
    </row>
    <row r="9" spans="1:12" hidden="1">
      <c r="A9" s="5">
        <v>13148913</v>
      </c>
      <c r="B9" s="5">
        <v>13148913</v>
      </c>
      <c r="C9" s="5">
        <v>43713325</v>
      </c>
      <c r="D9" s="5" t="s">
        <v>35</v>
      </c>
      <c r="E9" s="5" t="s">
        <v>36</v>
      </c>
      <c r="F9" s="5" t="s">
        <v>14</v>
      </c>
      <c r="G9" s="5"/>
      <c r="H9" s="8" t="s">
        <v>27</v>
      </c>
      <c r="I9" s="7">
        <v>0.99658113999999998</v>
      </c>
      <c r="J9" s="7">
        <v>8</v>
      </c>
      <c r="K9" s="7">
        <v>1</v>
      </c>
    </row>
    <row r="10" spans="1:12" hidden="1">
      <c r="A10" s="5">
        <v>16040595</v>
      </c>
      <c r="B10" s="5">
        <v>16040595</v>
      </c>
      <c r="C10" s="5">
        <v>45863703</v>
      </c>
      <c r="D10" s="5" t="s">
        <v>37</v>
      </c>
      <c r="E10" s="5" t="s">
        <v>36</v>
      </c>
      <c r="F10" s="5" t="s">
        <v>19</v>
      </c>
      <c r="G10" s="5"/>
      <c r="H10" s="8" t="s">
        <v>16</v>
      </c>
      <c r="I10" s="7">
        <v>0.99650097000000004</v>
      </c>
      <c r="J10" s="7">
        <v>9</v>
      </c>
      <c r="K10" s="7">
        <v>1</v>
      </c>
    </row>
    <row r="11" spans="1:12" hidden="1">
      <c r="A11" s="5">
        <v>15216217</v>
      </c>
      <c r="B11" s="5">
        <v>15216217</v>
      </c>
      <c r="C11" s="5">
        <v>75385218</v>
      </c>
      <c r="D11" s="5" t="s">
        <v>38</v>
      </c>
      <c r="E11" s="5" t="s">
        <v>26</v>
      </c>
      <c r="F11" s="5" t="s">
        <v>27</v>
      </c>
      <c r="G11" s="5" t="s">
        <v>28</v>
      </c>
      <c r="H11" s="8" t="s">
        <v>27</v>
      </c>
      <c r="I11" s="7">
        <v>0.99638283000000005</v>
      </c>
      <c r="J11" s="7">
        <v>10</v>
      </c>
      <c r="K11" s="7">
        <v>1</v>
      </c>
    </row>
    <row r="12" spans="1:12">
      <c r="A12" s="5">
        <v>10235507</v>
      </c>
      <c r="B12" s="5">
        <v>10235507</v>
      </c>
      <c r="C12" s="5">
        <v>25132757</v>
      </c>
      <c r="D12" s="5" t="s">
        <v>39</v>
      </c>
      <c r="E12" s="5" t="s">
        <v>40</v>
      </c>
      <c r="F12" s="5" t="s">
        <v>14</v>
      </c>
      <c r="G12" s="15" t="s">
        <v>41</v>
      </c>
      <c r="H12" s="7" t="s">
        <v>16</v>
      </c>
      <c r="I12" s="7">
        <v>0.9961641</v>
      </c>
      <c r="J12" s="7">
        <v>11</v>
      </c>
      <c r="K12" s="7">
        <v>1</v>
      </c>
      <c r="L12" s="24" t="str">
        <f>VLOOKUP(B12,Hoja3!$B$2:$C$30,2,FALSE)</f>
        <v>2026-05</v>
      </c>
    </row>
    <row r="13" spans="1:12">
      <c r="A13" s="5">
        <v>14702163</v>
      </c>
      <c r="B13" s="5">
        <v>14702163</v>
      </c>
      <c r="C13" s="5">
        <v>41234823</v>
      </c>
      <c r="D13" s="5" t="s">
        <v>42</v>
      </c>
      <c r="E13" s="5" t="s">
        <v>36</v>
      </c>
      <c r="F13" s="5" t="s">
        <v>14</v>
      </c>
      <c r="G13" s="15" t="s">
        <v>43</v>
      </c>
      <c r="H13" s="7" t="s">
        <v>16</v>
      </c>
      <c r="I13" s="7">
        <v>0.99603770000000003</v>
      </c>
      <c r="J13" s="7">
        <v>12</v>
      </c>
      <c r="K13" s="7">
        <v>1</v>
      </c>
      <c r="L13" s="24" t="str">
        <f>VLOOKUP(B13,Hoja3!$B$2:$C$30,2,FALSE)</f>
        <v>2025-10</v>
      </c>
    </row>
    <row r="14" spans="1:12">
      <c r="A14" s="5">
        <v>15523553</v>
      </c>
      <c r="B14" s="5">
        <v>15523553</v>
      </c>
      <c r="C14" s="5">
        <v>48480849</v>
      </c>
      <c r="D14" s="5" t="s">
        <v>44</v>
      </c>
      <c r="E14" s="5" t="s">
        <v>36</v>
      </c>
      <c r="F14" s="5" t="s">
        <v>14</v>
      </c>
      <c r="G14" s="15" t="s">
        <v>45</v>
      </c>
      <c r="H14" s="7" t="s">
        <v>16</v>
      </c>
      <c r="I14" s="7">
        <v>0.99600213999999998</v>
      </c>
      <c r="J14" s="7">
        <v>13</v>
      </c>
      <c r="K14" s="7">
        <v>1</v>
      </c>
      <c r="L14" s="25" t="str">
        <f>VLOOKUP(B14,Hoja3!$B$2:$C$30,2,FALSE)</f>
        <v>2026-03</v>
      </c>
    </row>
    <row r="15" spans="1:12" hidden="1">
      <c r="A15" s="5">
        <v>16550769</v>
      </c>
      <c r="B15" s="5">
        <v>16550769</v>
      </c>
      <c r="C15" s="5">
        <v>45992241</v>
      </c>
      <c r="D15" s="5" t="s">
        <v>46</v>
      </c>
      <c r="E15" s="5" t="s">
        <v>26</v>
      </c>
      <c r="F15" s="5" t="s">
        <v>16</v>
      </c>
      <c r="G15" s="5"/>
      <c r="H15" s="8" t="s">
        <v>16</v>
      </c>
      <c r="I15" s="7">
        <v>0.99587809999999999</v>
      </c>
      <c r="J15" s="7">
        <v>14</v>
      </c>
      <c r="K15" s="7">
        <v>1</v>
      </c>
    </row>
    <row r="16" spans="1:12" hidden="1">
      <c r="A16" s="5">
        <v>14048264</v>
      </c>
      <c r="B16" s="5">
        <v>14048264</v>
      </c>
      <c r="C16" s="5">
        <v>48126120</v>
      </c>
      <c r="D16" s="5" t="s">
        <v>47</v>
      </c>
      <c r="E16" s="5" t="s">
        <v>22</v>
      </c>
      <c r="F16" s="5" t="s">
        <v>34</v>
      </c>
      <c r="G16" s="5" t="s">
        <v>48</v>
      </c>
      <c r="H16" s="8" t="s">
        <v>27</v>
      </c>
      <c r="I16" s="7">
        <v>0.99580365000000004</v>
      </c>
      <c r="J16" s="7">
        <v>15</v>
      </c>
      <c r="K16" s="7">
        <v>2</v>
      </c>
    </row>
    <row r="17" spans="1:12">
      <c r="A17" s="5">
        <v>11471954</v>
      </c>
      <c r="B17" s="5">
        <v>11471954</v>
      </c>
      <c r="C17" s="5">
        <v>44337189</v>
      </c>
      <c r="D17" s="5" t="s">
        <v>49</v>
      </c>
      <c r="E17" s="5" t="s">
        <v>33</v>
      </c>
      <c r="F17" s="5" t="s">
        <v>19</v>
      </c>
      <c r="G17" s="15" t="s">
        <v>50</v>
      </c>
      <c r="H17" s="8" t="s">
        <v>16</v>
      </c>
      <c r="I17" s="7">
        <v>0.99552260000000004</v>
      </c>
      <c r="J17" s="7">
        <v>16</v>
      </c>
      <c r="K17" s="7">
        <v>2</v>
      </c>
      <c r="L17" s="24" t="str">
        <f>VLOOKUP(B17,Hoja3!$B$2:$C$30,2,FALSE)</f>
        <v>2025-10</v>
      </c>
    </row>
    <row r="18" spans="1:12" hidden="1">
      <c r="A18" s="5">
        <v>11816818</v>
      </c>
      <c r="B18" s="5">
        <v>11816818</v>
      </c>
      <c r="C18" s="5">
        <v>45474845</v>
      </c>
      <c r="D18" s="5" t="s">
        <v>51</v>
      </c>
      <c r="E18" s="5" t="s">
        <v>33</v>
      </c>
      <c r="F18" s="5" t="s">
        <v>34</v>
      </c>
      <c r="G18" s="5"/>
      <c r="H18" s="8" t="s">
        <v>27</v>
      </c>
      <c r="I18" s="7">
        <v>0.99549639999999995</v>
      </c>
      <c r="J18" s="7">
        <v>17</v>
      </c>
      <c r="K18" s="7">
        <v>2</v>
      </c>
    </row>
    <row r="19" spans="1:12" hidden="1">
      <c r="A19" s="5">
        <v>10715430</v>
      </c>
      <c r="B19" s="5">
        <v>10715430</v>
      </c>
      <c r="C19" s="5">
        <v>24707752</v>
      </c>
      <c r="D19" s="5" t="s">
        <v>52</v>
      </c>
      <c r="E19" s="5" t="s">
        <v>40</v>
      </c>
      <c r="F19" s="5" t="s">
        <v>19</v>
      </c>
      <c r="G19" s="5"/>
      <c r="H19" s="8" t="s">
        <v>16</v>
      </c>
      <c r="I19" s="7">
        <v>0.99548364</v>
      </c>
      <c r="J19" s="7">
        <v>18</v>
      </c>
      <c r="K19" s="7">
        <v>2</v>
      </c>
    </row>
    <row r="20" spans="1:12" hidden="1">
      <c r="A20" s="5">
        <v>12799861</v>
      </c>
      <c r="B20" s="5">
        <v>12799861</v>
      </c>
      <c r="C20" s="5">
        <v>44792378</v>
      </c>
      <c r="D20" s="5" t="s">
        <v>53</v>
      </c>
      <c r="E20" s="5" t="s">
        <v>18</v>
      </c>
      <c r="F20" s="5" t="s">
        <v>19</v>
      </c>
      <c r="G20" s="5" t="s">
        <v>54</v>
      </c>
      <c r="H20" s="8" t="s">
        <v>16</v>
      </c>
      <c r="I20" s="7">
        <v>0.99539739999999999</v>
      </c>
      <c r="J20" s="7">
        <v>19</v>
      </c>
      <c r="K20" s="7">
        <v>2</v>
      </c>
    </row>
    <row r="21" spans="1:12">
      <c r="A21" s="5">
        <v>12379177</v>
      </c>
      <c r="B21" s="5">
        <v>12379177</v>
      </c>
      <c r="C21" s="5">
        <v>45039716</v>
      </c>
      <c r="D21" s="5" t="s">
        <v>55</v>
      </c>
      <c r="E21" s="5" t="s">
        <v>13</v>
      </c>
      <c r="F21" s="5" t="s">
        <v>14</v>
      </c>
      <c r="G21" s="15" t="s">
        <v>56</v>
      </c>
      <c r="H21" s="7" t="s">
        <v>16</v>
      </c>
      <c r="I21" s="7">
        <v>0.99534840000000002</v>
      </c>
      <c r="J21" s="7">
        <v>20</v>
      </c>
      <c r="K21" s="7">
        <v>2</v>
      </c>
      <c r="L21" s="26" t="str">
        <f>VLOOKUP(B21,Hoja3!$B$2:$C$30,2,FALSE)</f>
        <v>2026-06</v>
      </c>
    </row>
    <row r="22" spans="1:12" hidden="1">
      <c r="A22" s="5">
        <v>9403557</v>
      </c>
      <c r="B22" s="5">
        <v>9403557</v>
      </c>
      <c r="C22" s="5">
        <v>40194046</v>
      </c>
      <c r="D22" s="5" t="s">
        <v>57</v>
      </c>
      <c r="E22" s="5" t="s">
        <v>36</v>
      </c>
      <c r="F22" s="8" t="s">
        <v>19</v>
      </c>
      <c r="G22" s="5"/>
      <c r="H22" s="8" t="s">
        <v>16</v>
      </c>
      <c r="I22" s="7">
        <v>0.99530584</v>
      </c>
      <c r="J22" s="7">
        <v>21</v>
      </c>
      <c r="K22" s="7">
        <v>2</v>
      </c>
    </row>
    <row r="23" spans="1:12" hidden="1">
      <c r="A23" s="5">
        <v>10201670</v>
      </c>
      <c r="B23" s="5">
        <v>10201670</v>
      </c>
      <c r="C23" s="5">
        <v>41468927</v>
      </c>
      <c r="D23" s="5" t="s">
        <v>58</v>
      </c>
      <c r="E23" s="5" t="s">
        <v>40</v>
      </c>
      <c r="F23" s="8" t="s">
        <v>14</v>
      </c>
      <c r="G23" s="9"/>
      <c r="H23" s="8" t="s">
        <v>27</v>
      </c>
      <c r="I23" s="7">
        <v>0.99519049999999998</v>
      </c>
      <c r="J23" s="7">
        <v>22</v>
      </c>
      <c r="K23" s="7">
        <v>2</v>
      </c>
    </row>
    <row r="24" spans="1:12" hidden="1">
      <c r="A24" s="5">
        <v>14220569</v>
      </c>
      <c r="B24" s="5">
        <v>14220569</v>
      </c>
      <c r="C24" s="5">
        <v>76880862</v>
      </c>
      <c r="D24" s="5" t="s">
        <v>59</v>
      </c>
      <c r="E24" s="5" t="s">
        <v>13</v>
      </c>
      <c r="F24" s="5" t="s">
        <v>19</v>
      </c>
      <c r="G24" s="5"/>
      <c r="H24" s="8" t="s">
        <v>16</v>
      </c>
      <c r="I24" s="7">
        <v>0.99511059999999996</v>
      </c>
      <c r="J24" s="7">
        <v>23</v>
      </c>
      <c r="K24" s="7">
        <v>2</v>
      </c>
    </row>
    <row r="25" spans="1:12" hidden="1">
      <c r="A25" s="5">
        <v>19934106</v>
      </c>
      <c r="B25" s="5">
        <v>19934106</v>
      </c>
      <c r="C25" s="5">
        <v>800962</v>
      </c>
      <c r="D25" s="5" t="s">
        <v>60</v>
      </c>
      <c r="E25" s="5" t="s">
        <v>13</v>
      </c>
      <c r="F25" s="5" t="s">
        <v>14</v>
      </c>
      <c r="G25" s="5"/>
      <c r="H25" s="8" t="s">
        <v>27</v>
      </c>
      <c r="I25" s="7">
        <v>0.99500010000000005</v>
      </c>
      <c r="J25" s="7">
        <v>24</v>
      </c>
      <c r="K25" s="7">
        <v>2</v>
      </c>
    </row>
    <row r="26" spans="1:12">
      <c r="A26" s="5">
        <v>11464736</v>
      </c>
      <c r="B26" s="5">
        <v>11464736</v>
      </c>
      <c r="C26" s="5">
        <v>40903456</v>
      </c>
      <c r="D26" s="5" t="s">
        <v>61</v>
      </c>
      <c r="E26" s="5" t="s">
        <v>13</v>
      </c>
      <c r="F26" s="5" t="s">
        <v>14</v>
      </c>
      <c r="G26" s="15" t="s">
        <v>62</v>
      </c>
      <c r="H26" s="7" t="s">
        <v>16</v>
      </c>
      <c r="I26" s="7">
        <v>0.99491510000000005</v>
      </c>
      <c r="J26" s="7">
        <v>25</v>
      </c>
      <c r="K26" s="7">
        <v>2</v>
      </c>
      <c r="L26" s="24" t="str">
        <f>VLOOKUP(B26,Hoja3!$B$2:$C$30,2,FALSE)</f>
        <v>2025-10</v>
      </c>
    </row>
    <row r="27" spans="1:12" hidden="1">
      <c r="A27" s="5">
        <v>11848931</v>
      </c>
      <c r="B27" s="5">
        <v>11848931</v>
      </c>
      <c r="C27" s="5">
        <v>45160276</v>
      </c>
      <c r="D27" s="5" t="s">
        <v>63</v>
      </c>
      <c r="E27" s="5" t="s">
        <v>33</v>
      </c>
      <c r="F27" s="5" t="s">
        <v>19</v>
      </c>
      <c r="G27" s="5"/>
      <c r="H27" s="8" t="s">
        <v>16</v>
      </c>
      <c r="I27" s="7">
        <v>0.99489850000000002</v>
      </c>
      <c r="J27" s="7">
        <v>26</v>
      </c>
      <c r="K27" s="7">
        <v>2</v>
      </c>
    </row>
    <row r="28" spans="1:12">
      <c r="A28" s="5">
        <v>11446874</v>
      </c>
      <c r="B28" s="5">
        <v>11446874</v>
      </c>
      <c r="C28" s="5">
        <v>45516204</v>
      </c>
      <c r="D28" s="5" t="s">
        <v>64</v>
      </c>
      <c r="E28" s="5" t="s">
        <v>33</v>
      </c>
      <c r="F28" s="5" t="s">
        <v>19</v>
      </c>
      <c r="G28" s="15" t="s">
        <v>50</v>
      </c>
      <c r="H28" s="8" t="s">
        <v>16</v>
      </c>
      <c r="I28" s="7">
        <v>0.99481945999999999</v>
      </c>
      <c r="J28" s="7">
        <v>27</v>
      </c>
      <c r="K28" s="7">
        <v>3</v>
      </c>
      <c r="L28" s="24" t="str">
        <f>VLOOKUP(B28,Hoja3!$B$2:$C$30,2,FALSE)</f>
        <v>2026-06</v>
      </c>
    </row>
    <row r="29" spans="1:12" hidden="1">
      <c r="A29" s="5">
        <v>12305875</v>
      </c>
      <c r="B29" s="5">
        <v>12305875</v>
      </c>
      <c r="C29" s="5">
        <v>45137638</v>
      </c>
      <c r="D29" s="5" t="s">
        <v>65</v>
      </c>
      <c r="E29" s="5" t="s">
        <v>33</v>
      </c>
      <c r="F29" s="8" t="s">
        <v>34</v>
      </c>
      <c r="G29" s="5"/>
      <c r="H29" s="8" t="s">
        <v>27</v>
      </c>
      <c r="I29" s="7">
        <v>0.99480926999999997</v>
      </c>
      <c r="J29" s="7">
        <v>28</v>
      </c>
      <c r="K29" s="7">
        <v>3</v>
      </c>
    </row>
    <row r="30" spans="1:12">
      <c r="A30" s="5">
        <v>13186732</v>
      </c>
      <c r="B30" s="5">
        <v>13186732</v>
      </c>
      <c r="C30" s="5">
        <v>22098455</v>
      </c>
      <c r="D30" s="5" t="s">
        <v>66</v>
      </c>
      <c r="E30" s="5" t="s">
        <v>18</v>
      </c>
      <c r="F30" s="8" t="s">
        <v>19</v>
      </c>
      <c r="G30" s="15" t="s">
        <v>20</v>
      </c>
      <c r="H30" s="8" t="s">
        <v>16</v>
      </c>
      <c r="I30" s="7">
        <v>0.99467019999999995</v>
      </c>
      <c r="J30" s="7">
        <v>29</v>
      </c>
      <c r="K30" s="7">
        <v>3</v>
      </c>
      <c r="L30" s="24" t="str">
        <f>VLOOKUP(B30,Hoja3!$B$2:$C$30,2,FALSE)</f>
        <v>2025-07</v>
      </c>
    </row>
    <row r="31" spans="1:12" hidden="1">
      <c r="A31" s="5">
        <v>10815398</v>
      </c>
      <c r="B31" s="5">
        <v>10815398</v>
      </c>
      <c r="C31" s="5">
        <v>42944338</v>
      </c>
      <c r="D31" s="5" t="s">
        <v>67</v>
      </c>
      <c r="E31" s="5" t="s">
        <v>40</v>
      </c>
      <c r="F31" s="8" t="s">
        <v>19</v>
      </c>
      <c r="G31" s="5"/>
      <c r="H31" s="8" t="s">
        <v>16</v>
      </c>
      <c r="I31" s="7">
        <v>0.99464094999999997</v>
      </c>
      <c r="J31" s="7">
        <v>30</v>
      </c>
      <c r="K31" s="7">
        <v>3</v>
      </c>
    </row>
    <row r="32" spans="1:12" hidden="1">
      <c r="A32" s="5">
        <v>13220742</v>
      </c>
      <c r="B32" s="5">
        <v>13220742</v>
      </c>
      <c r="C32" s="5">
        <v>19420648</v>
      </c>
      <c r="D32" s="5" t="s">
        <v>68</v>
      </c>
      <c r="E32" s="5" t="s">
        <v>18</v>
      </c>
      <c r="F32" s="8" t="s">
        <v>34</v>
      </c>
      <c r="G32" s="5" t="s">
        <v>69</v>
      </c>
      <c r="H32" s="10" t="s">
        <v>27</v>
      </c>
      <c r="I32" s="7">
        <v>0.99454134999999999</v>
      </c>
      <c r="J32" s="7">
        <v>31</v>
      </c>
      <c r="K32" s="7">
        <v>3</v>
      </c>
    </row>
    <row r="33" spans="1:12" hidden="1">
      <c r="A33" s="5">
        <v>10978185</v>
      </c>
      <c r="B33" s="5">
        <v>10978185</v>
      </c>
      <c r="C33" s="5">
        <v>43543736</v>
      </c>
      <c r="D33" s="5" t="s">
        <v>70</v>
      </c>
      <c r="E33" s="5" t="s">
        <v>40</v>
      </c>
      <c r="F33" s="8" t="s">
        <v>14</v>
      </c>
      <c r="G33" s="5"/>
      <c r="H33" s="8" t="s">
        <v>27</v>
      </c>
      <c r="I33" s="7">
        <v>0.99448250000000005</v>
      </c>
      <c r="J33" s="7">
        <v>32</v>
      </c>
      <c r="K33" s="7">
        <v>3</v>
      </c>
    </row>
    <row r="34" spans="1:12" hidden="1">
      <c r="A34" s="5">
        <v>10763695</v>
      </c>
      <c r="B34" s="5">
        <v>10763695</v>
      </c>
      <c r="C34" s="5">
        <v>41808068</v>
      </c>
      <c r="D34" s="5" t="s">
        <v>71</v>
      </c>
      <c r="E34" s="5" t="s">
        <v>40</v>
      </c>
      <c r="F34" s="8" t="s">
        <v>19</v>
      </c>
      <c r="G34" s="5"/>
      <c r="H34" s="8" t="s">
        <v>16</v>
      </c>
      <c r="I34" s="7">
        <v>0.99444807000000002</v>
      </c>
      <c r="J34" s="7">
        <v>33</v>
      </c>
      <c r="K34" s="7">
        <v>3</v>
      </c>
    </row>
    <row r="35" spans="1:12" hidden="1">
      <c r="A35" s="5">
        <v>18432108</v>
      </c>
      <c r="B35" s="5">
        <v>18432108</v>
      </c>
      <c r="C35" s="5">
        <v>71345537</v>
      </c>
      <c r="D35" s="5" t="s">
        <v>72</v>
      </c>
      <c r="E35" s="5" t="s">
        <v>13</v>
      </c>
      <c r="F35" s="8" t="s">
        <v>14</v>
      </c>
      <c r="G35" s="5"/>
      <c r="H35" s="8" t="s">
        <v>27</v>
      </c>
      <c r="I35" s="7">
        <v>0.99442755999999999</v>
      </c>
      <c r="J35" s="7">
        <v>34</v>
      </c>
      <c r="K35" s="7">
        <v>3</v>
      </c>
    </row>
    <row r="36" spans="1:12">
      <c r="A36" s="5">
        <v>12168387</v>
      </c>
      <c r="B36" s="5">
        <v>12168387</v>
      </c>
      <c r="C36" s="5">
        <v>70477161</v>
      </c>
      <c r="D36" s="5" t="s">
        <v>73</v>
      </c>
      <c r="E36" s="5" t="s">
        <v>33</v>
      </c>
      <c r="F36" s="8" t="s">
        <v>34</v>
      </c>
      <c r="G36" s="15" t="s">
        <v>74</v>
      </c>
      <c r="H36" s="7" t="s">
        <v>16</v>
      </c>
      <c r="I36" s="7">
        <v>0.99440220000000001</v>
      </c>
      <c r="J36" s="7">
        <v>35</v>
      </c>
      <c r="K36" s="7">
        <v>3</v>
      </c>
      <c r="L36" s="25" t="str">
        <f>VLOOKUP(B36,Hoja3!$B$2:$C$30,2,FALSE)</f>
        <v>2026-01</v>
      </c>
    </row>
    <row r="37" spans="1:12" hidden="1">
      <c r="A37" s="5">
        <v>13198922</v>
      </c>
      <c r="B37" s="5">
        <v>13198922</v>
      </c>
      <c r="C37" s="5">
        <v>47259291</v>
      </c>
      <c r="D37" s="5" t="s">
        <v>75</v>
      </c>
      <c r="E37" s="5" t="s">
        <v>18</v>
      </c>
      <c r="F37" s="8" t="s">
        <v>34</v>
      </c>
      <c r="G37" s="5" t="s">
        <v>69</v>
      </c>
      <c r="H37" s="10" t="s">
        <v>27</v>
      </c>
      <c r="I37" s="7">
        <v>0.99433459999999996</v>
      </c>
      <c r="J37" s="7">
        <v>36</v>
      </c>
      <c r="K37" s="7">
        <v>3</v>
      </c>
    </row>
    <row r="38" spans="1:12" hidden="1">
      <c r="A38" s="5">
        <v>13142121</v>
      </c>
      <c r="B38" s="5">
        <v>13142121</v>
      </c>
      <c r="C38" s="5">
        <v>19419239</v>
      </c>
      <c r="D38" s="5" t="s">
        <v>76</v>
      </c>
      <c r="E38" s="5" t="s">
        <v>18</v>
      </c>
      <c r="F38" s="8" t="s">
        <v>19</v>
      </c>
      <c r="G38" s="5" t="s">
        <v>77</v>
      </c>
      <c r="H38" s="8" t="s">
        <v>16</v>
      </c>
      <c r="I38" s="7">
        <v>0.99433340000000003</v>
      </c>
      <c r="J38" s="7">
        <v>37</v>
      </c>
      <c r="K38" s="7">
        <v>3</v>
      </c>
    </row>
    <row r="39" spans="1:12" hidden="1">
      <c r="A39" s="5">
        <v>20944140</v>
      </c>
      <c r="B39" s="5">
        <v>20944140</v>
      </c>
      <c r="C39" s="5">
        <v>20604544719</v>
      </c>
      <c r="D39" s="5" t="s">
        <v>78</v>
      </c>
      <c r="E39" s="5" t="s">
        <v>36</v>
      </c>
      <c r="F39" s="8" t="s">
        <v>14</v>
      </c>
      <c r="G39" s="5"/>
      <c r="H39" s="8" t="s">
        <v>27</v>
      </c>
      <c r="I39" s="7">
        <v>0.99430320000000005</v>
      </c>
      <c r="J39" s="7">
        <v>38</v>
      </c>
      <c r="K39" s="7">
        <v>3</v>
      </c>
    </row>
    <row r="40" spans="1:12">
      <c r="A40" s="5">
        <v>13199373</v>
      </c>
      <c r="B40" s="5">
        <v>13199373</v>
      </c>
      <c r="C40" s="5">
        <v>19419299</v>
      </c>
      <c r="D40" s="5" t="s">
        <v>79</v>
      </c>
      <c r="E40" s="5" t="s">
        <v>13</v>
      </c>
      <c r="F40" s="8" t="s">
        <v>14</v>
      </c>
      <c r="G40" s="15" t="s">
        <v>56</v>
      </c>
      <c r="H40" s="7" t="s">
        <v>16</v>
      </c>
      <c r="I40" s="7">
        <v>0.99428490000000003</v>
      </c>
      <c r="J40" s="7">
        <v>39</v>
      </c>
      <c r="K40" s="7">
        <v>4</v>
      </c>
      <c r="L40" s="25" t="str">
        <f>VLOOKUP(B40,Hoja3!$B$2:$C$30,2,FALSE)</f>
        <v>2026-01</v>
      </c>
    </row>
    <row r="41" spans="1:12" hidden="1">
      <c r="A41" s="5">
        <v>11963381</v>
      </c>
      <c r="B41" s="5">
        <v>11963381</v>
      </c>
      <c r="C41" s="5">
        <v>43995142</v>
      </c>
      <c r="D41" s="5" t="s">
        <v>80</v>
      </c>
      <c r="E41" s="5" t="s">
        <v>33</v>
      </c>
      <c r="F41" s="8" t="s">
        <v>34</v>
      </c>
      <c r="G41" s="5"/>
      <c r="H41" s="8" t="s">
        <v>27</v>
      </c>
      <c r="I41" s="7">
        <v>0.99425319999999995</v>
      </c>
      <c r="J41" s="7">
        <v>40</v>
      </c>
      <c r="K41" s="7">
        <v>4</v>
      </c>
    </row>
    <row r="42" spans="1:12" hidden="1">
      <c r="A42" s="5">
        <v>10017234</v>
      </c>
      <c r="B42" s="5">
        <v>10017234</v>
      </c>
      <c r="C42" s="5">
        <v>43096318</v>
      </c>
      <c r="D42" s="5" t="s">
        <v>81</v>
      </c>
      <c r="E42" s="5" t="s">
        <v>40</v>
      </c>
      <c r="F42" s="8" t="s">
        <v>19</v>
      </c>
      <c r="G42" s="5"/>
      <c r="H42" s="8" t="s">
        <v>16</v>
      </c>
      <c r="I42" s="7">
        <v>0.99423223999999999</v>
      </c>
      <c r="J42" s="7">
        <v>41</v>
      </c>
      <c r="K42" s="7">
        <v>4</v>
      </c>
    </row>
    <row r="43" spans="1:12" hidden="1">
      <c r="A43" s="5">
        <v>14715752</v>
      </c>
      <c r="B43" s="5">
        <v>14715752</v>
      </c>
      <c r="C43" s="5">
        <v>73309408</v>
      </c>
      <c r="D43" s="5" t="s">
        <v>82</v>
      </c>
      <c r="E43" s="5" t="s">
        <v>22</v>
      </c>
      <c r="F43" s="11" t="s">
        <v>34</v>
      </c>
      <c r="G43" s="12" t="s">
        <v>48</v>
      </c>
      <c r="H43" s="10" t="s">
        <v>27</v>
      </c>
      <c r="I43" s="7">
        <v>0.99422270000000001</v>
      </c>
      <c r="J43" s="7">
        <v>42</v>
      </c>
      <c r="K43" s="7">
        <v>4</v>
      </c>
    </row>
    <row r="44" spans="1:12" hidden="1">
      <c r="A44" s="5">
        <v>13632599</v>
      </c>
      <c r="B44" s="5">
        <v>13632599</v>
      </c>
      <c r="C44" s="5">
        <v>47715180</v>
      </c>
      <c r="D44" s="5" t="s">
        <v>83</v>
      </c>
      <c r="E44" s="5" t="s">
        <v>18</v>
      </c>
      <c r="F44" s="11" t="s">
        <v>34</v>
      </c>
      <c r="G44" s="12" t="s">
        <v>69</v>
      </c>
      <c r="H44" s="10" t="s">
        <v>27</v>
      </c>
      <c r="I44" s="7">
        <v>0.99418419999999996</v>
      </c>
      <c r="J44" s="7">
        <v>43</v>
      </c>
      <c r="K44" s="7">
        <v>4</v>
      </c>
    </row>
    <row r="45" spans="1:12">
      <c r="A45" s="5">
        <v>9436194</v>
      </c>
      <c r="B45" s="5">
        <v>9436194</v>
      </c>
      <c r="C45" s="5">
        <v>41339966</v>
      </c>
      <c r="D45" s="5" t="s">
        <v>84</v>
      </c>
      <c r="E45" s="5" t="s">
        <v>36</v>
      </c>
      <c r="F45" s="11" t="s">
        <v>14</v>
      </c>
      <c r="G45" s="16" t="s">
        <v>85</v>
      </c>
      <c r="H45" s="7" t="s">
        <v>16</v>
      </c>
      <c r="I45" s="7">
        <v>0.99402374000000004</v>
      </c>
      <c r="J45" s="7">
        <v>44</v>
      </c>
      <c r="K45" s="7">
        <v>4</v>
      </c>
      <c r="L45" s="24" t="str">
        <f>VLOOKUP(B45,Hoja3!$B$2:$C$30,2,FALSE)</f>
        <v>2025-12</v>
      </c>
    </row>
    <row r="46" spans="1:12">
      <c r="A46" s="5">
        <v>11513557</v>
      </c>
      <c r="B46" s="5">
        <v>11513557</v>
      </c>
      <c r="C46" s="5">
        <v>16663376</v>
      </c>
      <c r="D46" s="5" t="s">
        <v>86</v>
      </c>
      <c r="E46" s="5" t="s">
        <v>33</v>
      </c>
      <c r="F46" s="11" t="s">
        <v>34</v>
      </c>
      <c r="G46" s="16" t="s">
        <v>87</v>
      </c>
      <c r="H46" s="7" t="s">
        <v>16</v>
      </c>
      <c r="I46" s="7">
        <v>0.99400454999999999</v>
      </c>
      <c r="J46" s="7">
        <v>45</v>
      </c>
      <c r="K46" s="7">
        <v>4</v>
      </c>
      <c r="L46" s="24" t="str">
        <f>VLOOKUP(B46,Hoja3!$B$2:$C$30,2,FALSE)</f>
        <v>2026-05</v>
      </c>
    </row>
    <row r="47" spans="1:12" hidden="1">
      <c r="A47" s="5">
        <v>18569636</v>
      </c>
      <c r="B47" s="5">
        <v>18569636</v>
      </c>
      <c r="C47" s="5">
        <v>75908096</v>
      </c>
      <c r="D47" s="5" t="s">
        <v>88</v>
      </c>
      <c r="E47" s="5" t="s">
        <v>36</v>
      </c>
      <c r="F47" s="11" t="s">
        <v>19</v>
      </c>
      <c r="G47" s="12"/>
      <c r="H47" s="8" t="s">
        <v>16</v>
      </c>
      <c r="I47" s="7">
        <v>0.99398816000000001</v>
      </c>
      <c r="J47" s="7">
        <v>46</v>
      </c>
      <c r="K47" s="7">
        <v>4</v>
      </c>
    </row>
    <row r="48" spans="1:12" hidden="1">
      <c r="A48" s="5">
        <v>11932898</v>
      </c>
      <c r="B48" s="5">
        <v>11932898</v>
      </c>
      <c r="C48" s="5">
        <v>73530014</v>
      </c>
      <c r="D48" s="5" t="s">
        <v>89</v>
      </c>
      <c r="E48" s="5" t="s">
        <v>33</v>
      </c>
      <c r="F48" s="11" t="s">
        <v>34</v>
      </c>
      <c r="G48" s="12"/>
      <c r="H48" s="8" t="s">
        <v>27</v>
      </c>
      <c r="I48" s="7">
        <v>0.99395210000000001</v>
      </c>
      <c r="J48" s="7">
        <v>47</v>
      </c>
      <c r="K48" s="7">
        <v>4</v>
      </c>
    </row>
    <row r="49" spans="1:12">
      <c r="A49" s="5">
        <v>15681866</v>
      </c>
      <c r="B49" s="5">
        <v>15681866</v>
      </c>
      <c r="C49" s="5">
        <v>42762970</v>
      </c>
      <c r="D49" s="5" t="s">
        <v>90</v>
      </c>
      <c r="E49" s="5" t="s">
        <v>36</v>
      </c>
      <c r="F49" s="11" t="s">
        <v>14</v>
      </c>
      <c r="G49" s="16" t="s">
        <v>45</v>
      </c>
      <c r="H49" s="7" t="s">
        <v>16</v>
      </c>
      <c r="I49" s="7">
        <v>0.99391770000000002</v>
      </c>
      <c r="J49" s="7">
        <v>48</v>
      </c>
      <c r="K49" s="7">
        <v>4</v>
      </c>
      <c r="L49" s="24" t="str">
        <f>VLOOKUP(B49,Hoja3!$B$2:$C$30,2,FALSE)</f>
        <v>2026-05</v>
      </c>
    </row>
    <row r="50" spans="1:12" hidden="1">
      <c r="A50" s="5">
        <v>10051083</v>
      </c>
      <c r="B50" s="5">
        <v>10051083</v>
      </c>
      <c r="C50" s="5">
        <v>49087016</v>
      </c>
      <c r="D50" s="5" t="s">
        <v>91</v>
      </c>
      <c r="E50" s="5" t="s">
        <v>40</v>
      </c>
      <c r="F50" s="11" t="s">
        <v>19</v>
      </c>
      <c r="G50" s="12"/>
      <c r="H50" s="8" t="s">
        <v>16</v>
      </c>
      <c r="I50" s="7">
        <v>0.99389570000000005</v>
      </c>
      <c r="J50" s="7">
        <v>49</v>
      </c>
      <c r="K50" s="7">
        <v>4</v>
      </c>
    </row>
    <row r="51" spans="1:12" hidden="1">
      <c r="A51" s="5">
        <v>12174543</v>
      </c>
      <c r="B51" s="5">
        <v>12174543</v>
      </c>
      <c r="C51" s="5">
        <v>42924249</v>
      </c>
      <c r="D51" s="5" t="s">
        <v>92</v>
      </c>
      <c r="E51" s="5" t="s">
        <v>33</v>
      </c>
      <c r="F51" s="13" t="s">
        <v>34</v>
      </c>
      <c r="G51" s="12"/>
      <c r="H51" s="8" t="s">
        <v>27</v>
      </c>
      <c r="I51" s="7">
        <v>0.99383754000000002</v>
      </c>
      <c r="J51" s="7">
        <v>50</v>
      </c>
      <c r="K51" s="7">
        <v>4</v>
      </c>
    </row>
    <row r="52" spans="1:12" hidden="1">
      <c r="A52" s="5">
        <v>18684512</v>
      </c>
      <c r="B52" s="5">
        <v>18684512</v>
      </c>
      <c r="C52" s="5">
        <v>43952342</v>
      </c>
      <c r="D52" s="5" t="s">
        <v>93</v>
      </c>
      <c r="E52" s="5" t="s">
        <v>13</v>
      </c>
      <c r="F52" s="11" t="s">
        <v>14</v>
      </c>
      <c r="G52" s="12" t="s">
        <v>94</v>
      </c>
      <c r="H52" s="7" t="s">
        <v>16</v>
      </c>
      <c r="I52" s="7">
        <v>0.99379130000000004</v>
      </c>
      <c r="J52" s="7">
        <v>51</v>
      </c>
      <c r="K52" s="7">
        <v>5</v>
      </c>
    </row>
    <row r="53" spans="1:12" hidden="1">
      <c r="A53" s="5">
        <v>10266566</v>
      </c>
      <c r="B53" s="5">
        <v>10266566</v>
      </c>
      <c r="C53" s="5">
        <v>45311344</v>
      </c>
      <c r="D53" s="5" t="s">
        <v>95</v>
      </c>
      <c r="E53" s="5" t="s">
        <v>40</v>
      </c>
      <c r="F53" s="11" t="s">
        <v>14</v>
      </c>
      <c r="G53" s="12"/>
      <c r="H53" s="8" t="s">
        <v>27</v>
      </c>
      <c r="I53" s="7">
        <v>0.99375206000000005</v>
      </c>
      <c r="J53" s="7">
        <v>52</v>
      </c>
      <c r="K53" s="7">
        <v>5</v>
      </c>
    </row>
    <row r="54" spans="1:12" hidden="1">
      <c r="A54" s="5">
        <v>9913858</v>
      </c>
      <c r="B54" s="5">
        <v>9913858</v>
      </c>
      <c r="C54" s="5">
        <v>18197071</v>
      </c>
      <c r="D54" s="5" t="s">
        <v>96</v>
      </c>
      <c r="E54" s="5" t="s">
        <v>40</v>
      </c>
      <c r="F54" s="11" t="s">
        <v>19</v>
      </c>
      <c r="G54" s="12"/>
      <c r="H54" s="8" t="s">
        <v>16</v>
      </c>
      <c r="I54" s="7">
        <v>0.99370813000000002</v>
      </c>
      <c r="J54" s="7">
        <v>53</v>
      </c>
      <c r="K54" s="7">
        <v>5</v>
      </c>
    </row>
    <row r="55" spans="1:12">
      <c r="A55" s="5">
        <v>15092682</v>
      </c>
      <c r="B55" s="5">
        <v>15092682</v>
      </c>
      <c r="C55" s="5">
        <v>46833461</v>
      </c>
      <c r="D55" s="5" t="s">
        <v>97</v>
      </c>
      <c r="E55" s="5" t="s">
        <v>36</v>
      </c>
      <c r="F55" s="11" t="s">
        <v>14</v>
      </c>
      <c r="G55" s="16" t="s">
        <v>43</v>
      </c>
      <c r="H55" s="7" t="s">
        <v>16</v>
      </c>
      <c r="I55" s="7">
        <v>0.99369264000000002</v>
      </c>
      <c r="J55" s="7">
        <v>54</v>
      </c>
      <c r="K55" s="7">
        <v>5</v>
      </c>
      <c r="L55" s="24" t="str">
        <f>VLOOKUP(B55,Hoja3!$B$2:$C$30,2,FALSE)</f>
        <v>2025-10</v>
      </c>
    </row>
    <row r="56" spans="1:12">
      <c r="A56" s="5">
        <v>16479861</v>
      </c>
      <c r="B56" s="5">
        <v>16479861</v>
      </c>
      <c r="C56" s="5">
        <v>44221680</v>
      </c>
      <c r="D56" s="5" t="s">
        <v>98</v>
      </c>
      <c r="E56" s="5" t="s">
        <v>26</v>
      </c>
      <c r="F56" s="11" t="s">
        <v>27</v>
      </c>
      <c r="G56" s="16" t="s">
        <v>99</v>
      </c>
      <c r="H56" s="7" t="s">
        <v>16</v>
      </c>
      <c r="I56" s="7">
        <v>0.99356080000000002</v>
      </c>
      <c r="J56" s="7">
        <v>55</v>
      </c>
      <c r="K56" s="7">
        <v>5</v>
      </c>
      <c r="L56" s="25" t="str">
        <f>VLOOKUP(B56,Hoja3!$B$2:$C$30,2,FALSE)</f>
        <v>2026-02</v>
      </c>
    </row>
    <row r="57" spans="1:12" hidden="1">
      <c r="A57" s="5">
        <v>16461280</v>
      </c>
      <c r="B57" s="5">
        <v>16461280</v>
      </c>
      <c r="C57" s="5">
        <v>43467135</v>
      </c>
      <c r="D57" s="5" t="s">
        <v>100</v>
      </c>
      <c r="E57" s="5" t="s">
        <v>26</v>
      </c>
      <c r="F57" s="11" t="s">
        <v>27</v>
      </c>
      <c r="G57" s="12"/>
      <c r="H57" s="8" t="s">
        <v>27</v>
      </c>
      <c r="I57" s="7">
        <v>0.99351800000000001</v>
      </c>
      <c r="J57" s="7">
        <v>56</v>
      </c>
      <c r="K57" s="7">
        <v>5</v>
      </c>
    </row>
    <row r="58" spans="1:12" hidden="1">
      <c r="A58" s="5">
        <v>11571101</v>
      </c>
      <c r="B58" s="5">
        <v>11571101</v>
      </c>
      <c r="C58" s="5">
        <v>18027392</v>
      </c>
      <c r="D58" s="5" t="s">
        <v>101</v>
      </c>
      <c r="E58" s="5" t="s">
        <v>33</v>
      </c>
      <c r="F58" s="11" t="s">
        <v>23</v>
      </c>
      <c r="G58" s="12" t="s">
        <v>102</v>
      </c>
      <c r="H58" s="8" t="s">
        <v>16</v>
      </c>
      <c r="I58" s="7">
        <v>0.99345510000000004</v>
      </c>
      <c r="J58" s="7">
        <v>57</v>
      </c>
      <c r="K58" s="7">
        <v>5</v>
      </c>
    </row>
    <row r="59" spans="1:12" hidden="1">
      <c r="A59" s="5">
        <v>12679034</v>
      </c>
      <c r="B59" s="5">
        <v>12679034</v>
      </c>
      <c r="C59" s="5">
        <v>20415916</v>
      </c>
      <c r="D59" s="5" t="s">
        <v>103</v>
      </c>
      <c r="E59" s="5" t="s">
        <v>18</v>
      </c>
      <c r="F59" s="11" t="s">
        <v>19</v>
      </c>
      <c r="G59" s="12" t="s">
        <v>104</v>
      </c>
      <c r="H59" s="8" t="s">
        <v>16</v>
      </c>
      <c r="I59" s="7">
        <v>0.99343879999999996</v>
      </c>
      <c r="J59" s="7">
        <v>58</v>
      </c>
      <c r="K59" s="7">
        <v>5</v>
      </c>
    </row>
    <row r="60" spans="1:12" hidden="1">
      <c r="A60" s="5">
        <v>19136668</v>
      </c>
      <c r="B60" s="5">
        <v>19136668</v>
      </c>
      <c r="C60" s="5">
        <v>18109513</v>
      </c>
      <c r="D60" s="5" t="s">
        <v>105</v>
      </c>
      <c r="E60" s="5" t="s">
        <v>36</v>
      </c>
      <c r="F60" s="11" t="s">
        <v>19</v>
      </c>
      <c r="G60" s="12"/>
      <c r="H60" s="8" t="s">
        <v>16</v>
      </c>
      <c r="I60" s="7">
        <v>0.99337889999999995</v>
      </c>
      <c r="J60" s="7">
        <v>59</v>
      </c>
      <c r="K60" s="7">
        <v>5</v>
      </c>
    </row>
    <row r="61" spans="1:12" hidden="1">
      <c r="A61" s="5">
        <v>17021188</v>
      </c>
      <c r="B61" s="5">
        <v>17021188</v>
      </c>
      <c r="C61" s="5">
        <v>48479292</v>
      </c>
      <c r="D61" s="5" t="s">
        <v>106</v>
      </c>
      <c r="E61" s="5" t="s">
        <v>26</v>
      </c>
      <c r="F61" s="11" t="s">
        <v>27</v>
      </c>
      <c r="G61" s="12" t="s">
        <v>107</v>
      </c>
      <c r="H61" s="7" t="s">
        <v>27</v>
      </c>
      <c r="I61" s="7">
        <v>0.99337450000000005</v>
      </c>
      <c r="J61" s="7">
        <v>60</v>
      </c>
      <c r="K61" s="7">
        <v>5</v>
      </c>
    </row>
    <row r="62" spans="1:12" hidden="1">
      <c r="A62" s="5">
        <v>10098510</v>
      </c>
      <c r="B62" s="5">
        <v>10098510</v>
      </c>
      <c r="C62" s="5">
        <v>80633903</v>
      </c>
      <c r="D62" s="5" t="s">
        <v>108</v>
      </c>
      <c r="E62" s="5" t="s">
        <v>13</v>
      </c>
      <c r="F62" s="11" t="s">
        <v>19</v>
      </c>
      <c r="G62" s="12"/>
      <c r="H62" s="8" t="s">
        <v>16</v>
      </c>
      <c r="I62" s="7">
        <v>0.99336340000000001</v>
      </c>
      <c r="J62" s="7">
        <v>61</v>
      </c>
      <c r="K62" s="7">
        <v>5</v>
      </c>
    </row>
    <row r="63" spans="1:12" hidden="1">
      <c r="A63" s="5">
        <v>14268258</v>
      </c>
      <c r="B63" s="5">
        <v>14268258</v>
      </c>
      <c r="C63" s="5">
        <v>43538302</v>
      </c>
      <c r="D63" s="5" t="s">
        <v>109</v>
      </c>
      <c r="E63" s="5" t="s">
        <v>22</v>
      </c>
      <c r="F63" s="6" t="s">
        <v>34</v>
      </c>
      <c r="G63" s="5" t="s">
        <v>48</v>
      </c>
      <c r="H63" s="10" t="s">
        <v>27</v>
      </c>
      <c r="I63" s="7">
        <v>0.99327189999999999</v>
      </c>
      <c r="J63" s="7">
        <v>62</v>
      </c>
      <c r="K63" s="7">
        <v>5</v>
      </c>
    </row>
    <row r="64" spans="1:12" hidden="1">
      <c r="A64" s="5">
        <v>13479713</v>
      </c>
      <c r="B64" s="5">
        <v>13479713</v>
      </c>
      <c r="C64" s="5">
        <v>46901785</v>
      </c>
      <c r="D64" s="17" t="s">
        <v>110</v>
      </c>
      <c r="E64" s="17" t="s">
        <v>18</v>
      </c>
      <c r="F64" s="17" t="s">
        <v>34</v>
      </c>
      <c r="G64" s="17" t="s">
        <v>111</v>
      </c>
      <c r="H64" s="14" t="s">
        <v>16</v>
      </c>
      <c r="I64" s="7">
        <v>0.99326950000000003</v>
      </c>
      <c r="J64" s="7">
        <v>63</v>
      </c>
      <c r="K64" s="7">
        <v>6</v>
      </c>
    </row>
    <row r="65" spans="1:12" hidden="1">
      <c r="A65" s="5">
        <v>13443252</v>
      </c>
      <c r="B65" s="5">
        <v>13443252</v>
      </c>
      <c r="C65" s="5">
        <v>42468680</v>
      </c>
      <c r="D65" s="5" t="s">
        <v>112</v>
      </c>
      <c r="E65" s="5" t="s">
        <v>18</v>
      </c>
      <c r="F65" s="5" t="s">
        <v>19</v>
      </c>
      <c r="G65" s="5" t="s">
        <v>113</v>
      </c>
      <c r="H65" s="8" t="s">
        <v>16</v>
      </c>
      <c r="I65" s="7">
        <v>0.99319460000000004</v>
      </c>
      <c r="J65" s="7">
        <v>64</v>
      </c>
      <c r="K65" s="7">
        <v>6</v>
      </c>
    </row>
    <row r="66" spans="1:12" hidden="1">
      <c r="A66" s="5">
        <v>14767706</v>
      </c>
      <c r="B66" s="5">
        <v>14767706</v>
      </c>
      <c r="C66" s="5">
        <v>46701840</v>
      </c>
      <c r="D66" s="5" t="s">
        <v>114</v>
      </c>
      <c r="E66" s="5" t="s">
        <v>36</v>
      </c>
      <c r="F66" s="5" t="s">
        <v>19</v>
      </c>
      <c r="G66" s="5"/>
      <c r="H66" s="8" t="s">
        <v>16</v>
      </c>
      <c r="I66" s="7">
        <v>0.99316495999999999</v>
      </c>
      <c r="J66" s="7">
        <v>65</v>
      </c>
      <c r="K66" s="7">
        <v>6</v>
      </c>
    </row>
    <row r="67" spans="1:12" hidden="1">
      <c r="A67" s="5">
        <v>15720257</v>
      </c>
      <c r="B67" s="5">
        <v>15720257</v>
      </c>
      <c r="C67" s="5">
        <v>3687928</v>
      </c>
      <c r="D67" s="5" t="s">
        <v>115</v>
      </c>
      <c r="E67" s="5" t="s">
        <v>36</v>
      </c>
      <c r="F67" s="5" t="s">
        <v>14</v>
      </c>
      <c r="G67" s="5"/>
      <c r="H67" s="8" t="s">
        <v>27</v>
      </c>
      <c r="I67" s="7">
        <v>0.99304914</v>
      </c>
      <c r="J67" s="7">
        <v>66</v>
      </c>
      <c r="K67" s="7">
        <v>6</v>
      </c>
    </row>
    <row r="68" spans="1:12" hidden="1">
      <c r="A68" s="5">
        <v>14000969</v>
      </c>
      <c r="B68" s="5">
        <v>14000969</v>
      </c>
      <c r="C68" s="5">
        <v>73873022</v>
      </c>
      <c r="D68" s="5" t="s">
        <v>116</v>
      </c>
      <c r="E68" s="5" t="s">
        <v>18</v>
      </c>
      <c r="F68" s="5" t="s">
        <v>34</v>
      </c>
      <c r="G68" s="5" t="s">
        <v>69</v>
      </c>
      <c r="H68" s="7" t="s">
        <v>34</v>
      </c>
      <c r="I68" s="7">
        <v>0.99303140000000001</v>
      </c>
      <c r="J68" s="7">
        <v>67</v>
      </c>
      <c r="K68" s="7">
        <v>6</v>
      </c>
    </row>
    <row r="69" spans="1:12">
      <c r="A69" s="5">
        <v>11073592</v>
      </c>
      <c r="B69" s="5">
        <v>11073592</v>
      </c>
      <c r="C69" s="5">
        <v>40669161</v>
      </c>
      <c r="D69" s="5" t="s">
        <v>117</v>
      </c>
      <c r="E69" s="5" t="s">
        <v>13</v>
      </c>
      <c r="F69" s="5" t="s">
        <v>14</v>
      </c>
      <c r="G69" s="15" t="s">
        <v>62</v>
      </c>
      <c r="H69" s="7" t="s">
        <v>16</v>
      </c>
      <c r="I69" s="7">
        <v>0.99292575999999999</v>
      </c>
      <c r="J69" s="7">
        <v>68</v>
      </c>
      <c r="K69" s="7">
        <v>6</v>
      </c>
      <c r="L69" s="24" t="str">
        <f>VLOOKUP(B69,Hoja3!$B$2:$C$30,2,FALSE)</f>
        <v>2026-06</v>
      </c>
    </row>
    <row r="70" spans="1:12" hidden="1">
      <c r="A70" s="5">
        <v>14747810</v>
      </c>
      <c r="B70" s="5">
        <v>14747810</v>
      </c>
      <c r="C70" s="5">
        <v>73249759</v>
      </c>
      <c r="D70" s="5" t="s">
        <v>118</v>
      </c>
      <c r="E70" s="5" t="s">
        <v>22</v>
      </c>
      <c r="F70" s="5" t="s">
        <v>34</v>
      </c>
      <c r="G70" s="5" t="s">
        <v>119</v>
      </c>
      <c r="H70" s="8" t="s">
        <v>27</v>
      </c>
      <c r="I70" s="7">
        <v>0.99287720000000002</v>
      </c>
      <c r="J70" s="7">
        <v>69</v>
      </c>
      <c r="K70" s="7">
        <v>6</v>
      </c>
    </row>
    <row r="71" spans="1:12">
      <c r="A71" s="5">
        <v>9889574</v>
      </c>
      <c r="B71" s="5">
        <v>9889574</v>
      </c>
      <c r="C71" s="5">
        <v>1320989</v>
      </c>
      <c r="D71" s="5" t="s">
        <v>120</v>
      </c>
      <c r="E71" s="5" t="s">
        <v>40</v>
      </c>
      <c r="F71" s="9" t="s">
        <v>14</v>
      </c>
      <c r="G71" s="15" t="s">
        <v>121</v>
      </c>
      <c r="H71" s="7" t="s">
        <v>16</v>
      </c>
      <c r="I71" s="7">
        <v>0.99284744000000003</v>
      </c>
      <c r="J71" s="7">
        <v>70</v>
      </c>
      <c r="K71" s="7">
        <v>6</v>
      </c>
      <c r="L71" s="25" t="str">
        <f>VLOOKUP(B71,Hoja3!$B$2:$C$30,2,FALSE)</f>
        <v>2026-01</v>
      </c>
    </row>
    <row r="72" spans="1:12" hidden="1">
      <c r="A72" s="5">
        <v>13593994</v>
      </c>
      <c r="B72" s="5">
        <v>13593994</v>
      </c>
      <c r="C72" s="5">
        <v>43868693</v>
      </c>
      <c r="D72" s="5" t="s">
        <v>122</v>
      </c>
      <c r="E72" s="5" t="s">
        <v>13</v>
      </c>
      <c r="F72" s="11" t="s">
        <v>14</v>
      </c>
      <c r="G72" s="12"/>
      <c r="H72" s="8" t="s">
        <v>27</v>
      </c>
      <c r="I72" s="7">
        <v>0.99284689999999998</v>
      </c>
      <c r="J72" s="7">
        <v>71</v>
      </c>
      <c r="K72" s="7">
        <v>6</v>
      </c>
    </row>
    <row r="73" spans="1:12">
      <c r="A73" s="5">
        <v>13222658</v>
      </c>
      <c r="B73" s="5">
        <v>13222658</v>
      </c>
      <c r="C73" s="5">
        <v>47072748</v>
      </c>
      <c r="D73" s="5" t="s">
        <v>123</v>
      </c>
      <c r="E73" s="5" t="s">
        <v>18</v>
      </c>
      <c r="F73" s="11" t="s">
        <v>19</v>
      </c>
      <c r="G73" s="16" t="s">
        <v>20</v>
      </c>
      <c r="H73" s="8" t="s">
        <v>16</v>
      </c>
      <c r="I73" s="7">
        <v>0.99271659999999995</v>
      </c>
      <c r="J73" s="7">
        <v>72</v>
      </c>
      <c r="K73" s="7">
        <v>6</v>
      </c>
      <c r="L73" s="24" t="str">
        <f>VLOOKUP(B73,Hoja3!$B$2:$C$30,2,FALSE)</f>
        <v>2024-12</v>
      </c>
    </row>
    <row r="74" spans="1:12">
      <c r="A74" s="5">
        <v>13871357</v>
      </c>
      <c r="B74" s="5">
        <v>13871357</v>
      </c>
      <c r="C74" s="5">
        <v>7512823</v>
      </c>
      <c r="D74" s="5" t="s">
        <v>124</v>
      </c>
      <c r="E74" s="5" t="s">
        <v>18</v>
      </c>
      <c r="F74" s="11" t="s">
        <v>34</v>
      </c>
      <c r="G74" s="16" t="s">
        <v>125</v>
      </c>
      <c r="H74" s="7" t="s">
        <v>27</v>
      </c>
      <c r="I74" s="7">
        <v>0.99267620000000001</v>
      </c>
      <c r="J74" s="7">
        <v>73</v>
      </c>
      <c r="K74" s="7">
        <v>6</v>
      </c>
      <c r="L74" s="24" t="str">
        <f>VLOOKUP(B74,Hoja3!$B$2:$C$30,2,FALSE)</f>
        <v>2025-09</v>
      </c>
    </row>
    <row r="75" spans="1:12" hidden="1">
      <c r="A75" s="5">
        <v>13412466</v>
      </c>
      <c r="B75" s="5">
        <v>13412466</v>
      </c>
      <c r="C75" s="5">
        <v>19562043</v>
      </c>
      <c r="D75" s="5" t="s">
        <v>126</v>
      </c>
      <c r="E75" s="5" t="s">
        <v>13</v>
      </c>
      <c r="F75" s="11" t="s">
        <v>14</v>
      </c>
      <c r="G75" s="12"/>
      <c r="H75" s="8" t="s">
        <v>27</v>
      </c>
      <c r="I75" s="7">
        <v>0.99240463999999995</v>
      </c>
      <c r="J75" s="7">
        <v>74</v>
      </c>
      <c r="K75" s="7">
        <v>6</v>
      </c>
    </row>
    <row r="76" spans="1:12" hidden="1">
      <c r="A76" s="5">
        <v>22066024</v>
      </c>
      <c r="B76" s="5">
        <v>22066024</v>
      </c>
      <c r="C76" s="5">
        <v>45533796</v>
      </c>
      <c r="D76" s="5" t="s">
        <v>127</v>
      </c>
      <c r="E76" s="5" t="s">
        <v>13</v>
      </c>
      <c r="F76" s="11" t="s">
        <v>14</v>
      </c>
      <c r="G76" s="12"/>
      <c r="H76" s="8" t="s">
        <v>27</v>
      </c>
      <c r="I76" s="7">
        <v>0.99236489999999999</v>
      </c>
      <c r="J76" s="7">
        <v>75</v>
      </c>
      <c r="K76" s="7">
        <v>7</v>
      </c>
    </row>
    <row r="77" spans="1:12" hidden="1">
      <c r="A77" s="5">
        <v>13177837</v>
      </c>
      <c r="B77" s="5">
        <v>13177837</v>
      </c>
      <c r="C77" s="5">
        <v>19432897</v>
      </c>
      <c r="D77" s="5" t="s">
        <v>128</v>
      </c>
      <c r="E77" s="5" t="s">
        <v>18</v>
      </c>
      <c r="F77" s="11" t="s">
        <v>34</v>
      </c>
      <c r="G77" s="12" t="s">
        <v>69</v>
      </c>
      <c r="H77" s="7" t="s">
        <v>34</v>
      </c>
      <c r="I77" s="7">
        <v>0.99219780000000002</v>
      </c>
      <c r="J77" s="7">
        <v>76</v>
      </c>
      <c r="K77" s="7">
        <v>7</v>
      </c>
    </row>
    <row r="78" spans="1:12" hidden="1">
      <c r="A78" s="5">
        <v>20194348</v>
      </c>
      <c r="B78" s="5">
        <v>20194348</v>
      </c>
      <c r="C78" s="5">
        <v>23861182</v>
      </c>
      <c r="D78" s="5" t="s">
        <v>129</v>
      </c>
      <c r="E78" s="5" t="s">
        <v>36</v>
      </c>
      <c r="F78" s="11" t="s">
        <v>19</v>
      </c>
      <c r="G78" s="12"/>
      <c r="H78" s="8" t="s">
        <v>16</v>
      </c>
      <c r="I78" s="7">
        <v>0.99215936999999998</v>
      </c>
      <c r="J78" s="7">
        <v>77</v>
      </c>
      <c r="K78" s="7">
        <v>7</v>
      </c>
    </row>
    <row r="79" spans="1:12">
      <c r="A79" s="5">
        <v>11851541</v>
      </c>
      <c r="B79" s="5">
        <v>11851541</v>
      </c>
      <c r="C79" s="5">
        <v>4828431</v>
      </c>
      <c r="D79" s="5" t="s">
        <v>130</v>
      </c>
      <c r="E79" s="5" t="s">
        <v>33</v>
      </c>
      <c r="F79" s="11" t="s">
        <v>34</v>
      </c>
      <c r="G79" s="16" t="s">
        <v>131</v>
      </c>
      <c r="H79" s="7" t="s">
        <v>16</v>
      </c>
      <c r="I79" s="7">
        <v>0.99213340000000005</v>
      </c>
      <c r="J79" s="7">
        <v>78</v>
      </c>
      <c r="K79" s="7">
        <v>7</v>
      </c>
      <c r="L79" s="24" t="str">
        <f>VLOOKUP(B79,Hoja3!$B$2:$C$30,2,FALSE)</f>
        <v>2026-06</v>
      </c>
    </row>
    <row r="80" spans="1:12" hidden="1">
      <c r="A80" s="5">
        <v>13969015</v>
      </c>
      <c r="B80" s="5">
        <v>13969015</v>
      </c>
      <c r="C80" s="5">
        <v>43362219</v>
      </c>
      <c r="D80" s="5" t="s">
        <v>132</v>
      </c>
      <c r="E80" s="5" t="s">
        <v>18</v>
      </c>
      <c r="F80" s="11" t="s">
        <v>19</v>
      </c>
      <c r="G80" s="12"/>
      <c r="H80" s="8" t="s">
        <v>16</v>
      </c>
      <c r="I80" s="7">
        <v>0.99204809999999999</v>
      </c>
      <c r="J80" s="7">
        <v>79</v>
      </c>
      <c r="K80" s="7">
        <v>7</v>
      </c>
    </row>
    <row r="81" spans="1:12" hidden="1">
      <c r="A81" s="5">
        <v>13321871</v>
      </c>
      <c r="B81" s="5">
        <v>13321871</v>
      </c>
      <c r="C81" s="5">
        <v>19422614</v>
      </c>
      <c r="D81" s="5" t="s">
        <v>133</v>
      </c>
      <c r="E81" s="5" t="s">
        <v>18</v>
      </c>
      <c r="F81" s="11" t="s">
        <v>34</v>
      </c>
      <c r="G81" s="12" t="s">
        <v>69</v>
      </c>
      <c r="H81" s="7" t="s">
        <v>34</v>
      </c>
      <c r="I81" s="7">
        <v>0.99182713</v>
      </c>
      <c r="J81" s="7">
        <v>80</v>
      </c>
      <c r="K81" s="7">
        <v>7</v>
      </c>
    </row>
    <row r="82" spans="1:12" hidden="1">
      <c r="A82" s="5">
        <v>14394370</v>
      </c>
      <c r="B82" s="5">
        <v>14394370</v>
      </c>
      <c r="C82" s="5">
        <v>43713333</v>
      </c>
      <c r="D82" s="5" t="s">
        <v>134</v>
      </c>
      <c r="E82" s="5" t="s">
        <v>22</v>
      </c>
      <c r="F82" s="11" t="s">
        <v>34</v>
      </c>
      <c r="G82" s="12" t="s">
        <v>135</v>
      </c>
      <c r="H82" s="7" t="s">
        <v>27</v>
      </c>
      <c r="I82" s="7">
        <v>0.99172590000000005</v>
      </c>
      <c r="J82" s="7">
        <v>81</v>
      </c>
      <c r="K82" s="7">
        <v>7</v>
      </c>
    </row>
    <row r="83" spans="1:12" hidden="1">
      <c r="A83" s="5">
        <v>13503798</v>
      </c>
      <c r="B83" s="5">
        <v>13503798</v>
      </c>
      <c r="C83" s="5">
        <v>42363768</v>
      </c>
      <c r="D83" s="5" t="s">
        <v>136</v>
      </c>
      <c r="E83" s="5" t="s">
        <v>18</v>
      </c>
      <c r="F83" s="11" t="s">
        <v>34</v>
      </c>
      <c r="G83" s="12" t="s">
        <v>69</v>
      </c>
      <c r="H83" s="7" t="s">
        <v>34</v>
      </c>
      <c r="I83" s="7">
        <v>0.99170139999999996</v>
      </c>
      <c r="J83" s="7">
        <v>82</v>
      </c>
      <c r="K83" s="7">
        <v>7</v>
      </c>
    </row>
    <row r="84" spans="1:12" hidden="1">
      <c r="A84" s="5">
        <v>16287434</v>
      </c>
      <c r="B84" s="5">
        <v>16287434</v>
      </c>
      <c r="C84" s="5">
        <v>47686389</v>
      </c>
      <c r="D84" s="5" t="s">
        <v>137</v>
      </c>
      <c r="E84" s="5" t="s">
        <v>36</v>
      </c>
      <c r="F84" s="6" t="s">
        <v>14</v>
      </c>
      <c r="G84" s="5"/>
      <c r="H84" s="8" t="s">
        <v>27</v>
      </c>
      <c r="I84" s="7">
        <v>0.99154949999999997</v>
      </c>
      <c r="J84" s="7">
        <v>83</v>
      </c>
      <c r="K84" s="7">
        <v>7</v>
      </c>
    </row>
    <row r="85" spans="1:12" hidden="1">
      <c r="A85" s="5">
        <v>12821037</v>
      </c>
      <c r="B85" s="5">
        <v>12821037</v>
      </c>
      <c r="C85" s="5">
        <v>48542083</v>
      </c>
      <c r="D85" s="5" t="s">
        <v>138</v>
      </c>
      <c r="E85" s="5" t="s">
        <v>13</v>
      </c>
      <c r="F85" s="5" t="s">
        <v>14</v>
      </c>
      <c r="G85" s="5"/>
      <c r="H85" s="8" t="s">
        <v>27</v>
      </c>
      <c r="I85" s="7">
        <v>0.99151575999999997</v>
      </c>
      <c r="J85" s="7">
        <v>84</v>
      </c>
      <c r="K85" s="7">
        <v>7</v>
      </c>
    </row>
    <row r="86" spans="1:12" hidden="1">
      <c r="A86" s="5">
        <v>14480952</v>
      </c>
      <c r="B86" s="5">
        <v>14480952</v>
      </c>
      <c r="C86" s="5">
        <v>73075472</v>
      </c>
      <c r="D86" s="5" t="s">
        <v>139</v>
      </c>
      <c r="E86" s="5" t="s">
        <v>22</v>
      </c>
      <c r="F86" s="5" t="s">
        <v>34</v>
      </c>
      <c r="G86" s="5" t="s">
        <v>48</v>
      </c>
      <c r="H86" s="7" t="s">
        <v>34</v>
      </c>
      <c r="I86" s="7">
        <v>0.99150157000000005</v>
      </c>
      <c r="J86" s="7">
        <v>85</v>
      </c>
      <c r="K86" s="7">
        <v>7</v>
      </c>
    </row>
    <row r="87" spans="1:12" hidden="1">
      <c r="A87" s="5">
        <v>13301031</v>
      </c>
      <c r="B87" s="5">
        <v>13301031</v>
      </c>
      <c r="C87" s="5">
        <v>45907318</v>
      </c>
      <c r="D87" s="5" t="s">
        <v>140</v>
      </c>
      <c r="E87" s="5" t="s">
        <v>18</v>
      </c>
      <c r="F87" s="5" t="s">
        <v>19</v>
      </c>
      <c r="G87" s="5" t="s">
        <v>141</v>
      </c>
      <c r="H87" s="8" t="s">
        <v>16</v>
      </c>
      <c r="I87" s="7">
        <v>0.99149160000000003</v>
      </c>
      <c r="J87" s="7">
        <v>86</v>
      </c>
      <c r="K87" s="7">
        <v>7</v>
      </c>
    </row>
    <row r="88" spans="1:12">
      <c r="A88" s="5">
        <v>7471808</v>
      </c>
      <c r="B88" s="5">
        <v>7471808</v>
      </c>
      <c r="C88" s="5">
        <v>32646641</v>
      </c>
      <c r="D88" s="5" t="s">
        <v>142</v>
      </c>
      <c r="E88" s="5" t="s">
        <v>40</v>
      </c>
      <c r="F88" s="5" t="s">
        <v>14</v>
      </c>
      <c r="G88" s="15" t="s">
        <v>143</v>
      </c>
      <c r="H88" s="7" t="s">
        <v>16</v>
      </c>
      <c r="I88" s="7">
        <v>0.99132204000000002</v>
      </c>
      <c r="J88" s="7">
        <v>87</v>
      </c>
      <c r="K88" s="7">
        <v>8</v>
      </c>
      <c r="L88" s="25" t="str">
        <f>VLOOKUP(B88,Hoja3!$B$2:$C$30,2,FALSE)</f>
        <v>2026-03</v>
      </c>
    </row>
    <row r="89" spans="1:12" hidden="1">
      <c r="A89" s="5">
        <v>10718445</v>
      </c>
      <c r="B89" s="5">
        <v>10718445</v>
      </c>
      <c r="C89" s="5">
        <v>25578246</v>
      </c>
      <c r="D89" s="5" t="s">
        <v>144</v>
      </c>
      <c r="E89" s="5" t="s">
        <v>40</v>
      </c>
      <c r="F89" s="5" t="s">
        <v>19</v>
      </c>
      <c r="G89" s="5"/>
      <c r="H89" s="8" t="s">
        <v>16</v>
      </c>
      <c r="I89" s="7">
        <v>0.99131340000000001</v>
      </c>
      <c r="J89" s="7">
        <v>88</v>
      </c>
      <c r="K89" s="7">
        <v>8</v>
      </c>
    </row>
    <row r="90" spans="1:12" hidden="1">
      <c r="A90" s="5">
        <v>10136950</v>
      </c>
      <c r="B90" s="5">
        <v>10136950</v>
      </c>
      <c r="C90" s="5">
        <v>44147841</v>
      </c>
      <c r="D90" s="5" t="s">
        <v>145</v>
      </c>
      <c r="E90" s="5" t="s">
        <v>40</v>
      </c>
      <c r="F90" s="5" t="s">
        <v>19</v>
      </c>
      <c r="G90" s="5"/>
      <c r="H90" s="8" t="s">
        <v>16</v>
      </c>
      <c r="I90" s="7">
        <v>0.99129033</v>
      </c>
      <c r="J90" s="7">
        <v>89</v>
      </c>
      <c r="K90" s="7">
        <v>8</v>
      </c>
    </row>
    <row r="91" spans="1:12" hidden="1">
      <c r="A91" s="5">
        <v>13511057</v>
      </c>
      <c r="B91" s="5">
        <v>13511057</v>
      </c>
      <c r="C91" s="5">
        <v>47352700</v>
      </c>
      <c r="D91" s="5" t="s">
        <v>146</v>
      </c>
      <c r="E91" s="5" t="s">
        <v>36</v>
      </c>
      <c r="F91" s="5" t="s">
        <v>14</v>
      </c>
      <c r="G91" s="5"/>
      <c r="H91" s="8" t="s">
        <v>27</v>
      </c>
      <c r="I91" s="7">
        <v>0.99119690000000005</v>
      </c>
      <c r="J91" s="7">
        <v>90</v>
      </c>
      <c r="K91" s="7">
        <v>8</v>
      </c>
    </row>
    <row r="92" spans="1:12" hidden="1">
      <c r="A92" s="5">
        <v>12112890</v>
      </c>
      <c r="B92" s="5">
        <v>12112890</v>
      </c>
      <c r="C92" s="5">
        <v>40526934</v>
      </c>
      <c r="D92" s="5" t="s">
        <v>147</v>
      </c>
      <c r="E92" s="5" t="s">
        <v>33</v>
      </c>
      <c r="F92" s="5" t="s">
        <v>19</v>
      </c>
      <c r="G92" s="5"/>
      <c r="H92" s="8" t="s">
        <v>16</v>
      </c>
      <c r="I92" s="7">
        <v>0.99109429999999998</v>
      </c>
      <c r="J92" s="7">
        <v>91</v>
      </c>
      <c r="K92" s="7">
        <v>8</v>
      </c>
    </row>
    <row r="93" spans="1:12" hidden="1">
      <c r="A93" s="5">
        <v>12113263</v>
      </c>
      <c r="B93" s="5">
        <v>12113263</v>
      </c>
      <c r="C93" s="5">
        <v>40657170</v>
      </c>
      <c r="D93" s="5" t="s">
        <v>148</v>
      </c>
      <c r="E93" s="5" t="s">
        <v>33</v>
      </c>
      <c r="F93" s="5" t="s">
        <v>34</v>
      </c>
      <c r="G93" s="5"/>
      <c r="H93" s="8" t="s">
        <v>27</v>
      </c>
      <c r="I93" s="7">
        <v>0.99109309999999995</v>
      </c>
      <c r="J93" s="7">
        <v>92</v>
      </c>
      <c r="K93" s="7">
        <v>8</v>
      </c>
    </row>
    <row r="94" spans="1:12" hidden="1">
      <c r="A94" s="5">
        <v>13357311</v>
      </c>
      <c r="B94" s="5">
        <v>13357311</v>
      </c>
      <c r="C94" s="5">
        <v>42084918</v>
      </c>
      <c r="D94" s="5" t="s">
        <v>149</v>
      </c>
      <c r="E94" s="5" t="s">
        <v>18</v>
      </c>
      <c r="F94" s="5" t="s">
        <v>19</v>
      </c>
      <c r="G94" s="5"/>
      <c r="H94" s="8" t="s">
        <v>16</v>
      </c>
      <c r="I94" s="7">
        <v>0.99104789999999998</v>
      </c>
      <c r="J94" s="7">
        <v>93</v>
      </c>
      <c r="K94" s="7">
        <v>8</v>
      </c>
    </row>
    <row r="95" spans="1:12" hidden="1">
      <c r="A95" s="5">
        <v>12492940</v>
      </c>
      <c r="B95" s="5">
        <v>12492940</v>
      </c>
      <c r="C95" s="5">
        <v>46332152</v>
      </c>
      <c r="D95" s="5" t="s">
        <v>150</v>
      </c>
      <c r="E95" s="5" t="s">
        <v>33</v>
      </c>
      <c r="F95" s="5" t="s">
        <v>34</v>
      </c>
      <c r="G95" s="5"/>
      <c r="H95" s="8" t="s">
        <v>27</v>
      </c>
      <c r="I95" s="7">
        <v>0.99103640000000004</v>
      </c>
      <c r="J95" s="7">
        <v>94</v>
      </c>
      <c r="K95" s="7">
        <v>8</v>
      </c>
    </row>
    <row r="96" spans="1:12" hidden="1">
      <c r="A96" s="5">
        <v>13591528</v>
      </c>
      <c r="B96" s="5">
        <v>13591528</v>
      </c>
      <c r="C96" s="5">
        <v>16665984</v>
      </c>
      <c r="D96" s="5" t="s">
        <v>151</v>
      </c>
      <c r="E96" s="5" t="s">
        <v>13</v>
      </c>
      <c r="F96" s="5" t="s">
        <v>14</v>
      </c>
      <c r="G96" s="5"/>
      <c r="H96" s="8" t="s">
        <v>27</v>
      </c>
      <c r="I96" s="7">
        <v>0.99093865999999997</v>
      </c>
      <c r="J96" s="7">
        <v>95</v>
      </c>
      <c r="K96" s="7">
        <v>8</v>
      </c>
    </row>
    <row r="97" spans="1:12" hidden="1">
      <c r="A97" s="5">
        <v>9179543</v>
      </c>
      <c r="B97" s="5">
        <v>9179543</v>
      </c>
      <c r="C97" s="5">
        <v>10475606</v>
      </c>
      <c r="D97" s="5" t="s">
        <v>152</v>
      </c>
      <c r="E97" s="5" t="s">
        <v>36</v>
      </c>
      <c r="F97" s="5" t="s">
        <v>19</v>
      </c>
      <c r="G97" s="5"/>
      <c r="H97" s="8" t="s">
        <v>16</v>
      </c>
      <c r="I97" s="7">
        <v>0.99088279999999995</v>
      </c>
      <c r="J97" s="7">
        <v>96</v>
      </c>
      <c r="K97" s="7">
        <v>8</v>
      </c>
    </row>
    <row r="98" spans="1:12" hidden="1">
      <c r="A98" s="5">
        <v>17713468</v>
      </c>
      <c r="B98" s="5">
        <v>17713468</v>
      </c>
      <c r="C98" s="5">
        <v>10176157</v>
      </c>
      <c r="D98" s="5" t="s">
        <v>153</v>
      </c>
      <c r="E98" s="5" t="s">
        <v>26</v>
      </c>
      <c r="F98" s="5" t="s">
        <v>27</v>
      </c>
      <c r="G98" s="5"/>
      <c r="H98" s="8" t="s">
        <v>27</v>
      </c>
      <c r="I98" s="7">
        <v>0.99063579999999996</v>
      </c>
      <c r="J98" s="7">
        <v>97</v>
      </c>
      <c r="K98" s="7">
        <v>8</v>
      </c>
    </row>
    <row r="99" spans="1:12" hidden="1">
      <c r="A99" s="5">
        <v>12191082</v>
      </c>
      <c r="B99" s="5">
        <v>12191082</v>
      </c>
      <c r="C99" s="5">
        <v>47635970</v>
      </c>
      <c r="D99" s="5" t="s">
        <v>154</v>
      </c>
      <c r="E99" s="5" t="s">
        <v>33</v>
      </c>
      <c r="F99" s="5" t="s">
        <v>19</v>
      </c>
      <c r="G99" s="5"/>
      <c r="H99" s="8" t="s">
        <v>16</v>
      </c>
      <c r="I99" s="7">
        <v>0.99059427</v>
      </c>
      <c r="J99" s="7">
        <v>98</v>
      </c>
      <c r="K99" s="7">
        <v>8</v>
      </c>
    </row>
    <row r="100" spans="1:12" hidden="1">
      <c r="A100" s="5">
        <v>19304544</v>
      </c>
      <c r="B100" s="5">
        <v>19304544</v>
      </c>
      <c r="C100" s="5">
        <v>72665297</v>
      </c>
      <c r="D100" s="5" t="s">
        <v>155</v>
      </c>
      <c r="E100" s="5" t="s">
        <v>36</v>
      </c>
      <c r="F100" s="5" t="s">
        <v>14</v>
      </c>
      <c r="G100" s="5" t="s">
        <v>156</v>
      </c>
      <c r="H100" s="7" t="s">
        <v>27</v>
      </c>
      <c r="I100" s="7">
        <v>0.99058939999999995</v>
      </c>
      <c r="J100" s="7">
        <v>99</v>
      </c>
      <c r="K100" s="7">
        <v>9</v>
      </c>
    </row>
    <row r="101" spans="1:12">
      <c r="A101" s="5">
        <v>6481097</v>
      </c>
      <c r="B101" s="5">
        <v>6481097</v>
      </c>
      <c r="C101" s="5">
        <v>19818966</v>
      </c>
      <c r="D101" s="5" t="s">
        <v>157</v>
      </c>
      <c r="E101" s="5" t="s">
        <v>36</v>
      </c>
      <c r="F101" s="5" t="s">
        <v>14</v>
      </c>
      <c r="G101" s="15" t="s">
        <v>45</v>
      </c>
      <c r="H101" s="7" t="s">
        <v>16</v>
      </c>
      <c r="I101" s="7">
        <v>0.99053055000000001</v>
      </c>
      <c r="J101" s="7">
        <v>100</v>
      </c>
      <c r="K101" s="7">
        <v>9</v>
      </c>
      <c r="L101" s="25" t="str">
        <f>VLOOKUP(B101,Hoja3!$B$2:$C$30,2,FALSE)</f>
        <v>2026-03</v>
      </c>
    </row>
    <row r="102" spans="1:12" hidden="1">
      <c r="A102" s="5">
        <v>12484112</v>
      </c>
      <c r="B102" s="5">
        <v>12484112</v>
      </c>
      <c r="C102" s="5">
        <v>44871659</v>
      </c>
      <c r="D102" s="5" t="s">
        <v>158</v>
      </c>
      <c r="E102" s="5" t="s">
        <v>33</v>
      </c>
      <c r="F102" s="5" t="s">
        <v>19</v>
      </c>
      <c r="G102" s="5"/>
      <c r="H102" s="8" t="s">
        <v>16</v>
      </c>
      <c r="I102" s="7">
        <v>0.99052289999999998</v>
      </c>
      <c r="J102" s="7">
        <v>101</v>
      </c>
      <c r="K102" s="7">
        <v>9</v>
      </c>
    </row>
    <row r="103" spans="1:12" hidden="1">
      <c r="A103" s="5">
        <v>11094676</v>
      </c>
      <c r="B103" s="5">
        <v>11094676</v>
      </c>
      <c r="C103" s="5">
        <v>42088809</v>
      </c>
      <c r="D103" s="5" t="s">
        <v>159</v>
      </c>
      <c r="E103" s="5" t="s">
        <v>40</v>
      </c>
      <c r="F103" s="5" t="s">
        <v>14</v>
      </c>
      <c r="G103" s="5"/>
      <c r="H103" s="8" t="s">
        <v>27</v>
      </c>
      <c r="I103" s="7">
        <v>0.99048510000000001</v>
      </c>
      <c r="J103" s="7">
        <v>102</v>
      </c>
      <c r="K103" s="7">
        <v>9</v>
      </c>
    </row>
    <row r="104" spans="1:12">
      <c r="A104" s="5">
        <v>11767818</v>
      </c>
      <c r="B104" s="5">
        <v>11767818</v>
      </c>
      <c r="C104" s="5">
        <v>32922170</v>
      </c>
      <c r="D104" s="5" t="s">
        <v>160</v>
      </c>
      <c r="E104" s="5" t="s">
        <v>33</v>
      </c>
      <c r="F104" s="5" t="s">
        <v>34</v>
      </c>
      <c r="G104" s="15" t="s">
        <v>161</v>
      </c>
      <c r="H104" s="7" t="s">
        <v>16</v>
      </c>
      <c r="I104" s="7">
        <v>0.99047600000000002</v>
      </c>
      <c r="J104" s="7">
        <v>103</v>
      </c>
      <c r="K104" s="7">
        <v>9</v>
      </c>
      <c r="L104" s="24" t="str">
        <f>VLOOKUP(B104,Hoja3!$B$2:$C$30,2,FALSE)</f>
        <v>2025-10</v>
      </c>
    </row>
    <row r="105" spans="1:12">
      <c r="A105" s="5">
        <v>14937506</v>
      </c>
      <c r="B105" s="5">
        <v>14937506</v>
      </c>
      <c r="C105" s="5">
        <v>72959250</v>
      </c>
      <c r="D105" s="5" t="s">
        <v>162</v>
      </c>
      <c r="E105" s="5" t="s">
        <v>26</v>
      </c>
      <c r="F105" s="5" t="s">
        <v>27</v>
      </c>
      <c r="G105" s="15" t="s">
        <v>163</v>
      </c>
      <c r="H105" s="7" t="s">
        <v>16</v>
      </c>
      <c r="I105" s="7">
        <v>0.99034739999999999</v>
      </c>
      <c r="J105" s="7">
        <v>104</v>
      </c>
      <c r="K105" s="7">
        <v>9</v>
      </c>
      <c r="L105" s="24" t="str">
        <f>VLOOKUP(B105,Hoja3!$B$2:$C$30,2,FALSE)</f>
        <v>2025-08</v>
      </c>
    </row>
    <row r="106" spans="1:12" hidden="1">
      <c r="A106" s="5">
        <v>11823954</v>
      </c>
      <c r="B106" s="5">
        <v>11823954</v>
      </c>
      <c r="C106" s="5">
        <v>80000118</v>
      </c>
      <c r="D106" s="5" t="s">
        <v>164</v>
      </c>
      <c r="E106" s="5" t="s">
        <v>33</v>
      </c>
      <c r="F106" s="5" t="s">
        <v>34</v>
      </c>
      <c r="G106" s="5"/>
      <c r="H106" s="8" t="s">
        <v>27</v>
      </c>
      <c r="I106" s="7">
        <v>0.99027390000000004</v>
      </c>
      <c r="J106" s="7">
        <v>105</v>
      </c>
      <c r="K106" s="7">
        <v>9</v>
      </c>
    </row>
    <row r="107" spans="1:12" hidden="1">
      <c r="A107" s="5">
        <v>8496677</v>
      </c>
      <c r="B107" s="5">
        <v>8496677</v>
      </c>
      <c r="C107" s="5">
        <v>41745475</v>
      </c>
      <c r="D107" s="5" t="s">
        <v>165</v>
      </c>
      <c r="E107" s="5" t="s">
        <v>40</v>
      </c>
      <c r="F107" s="5" t="s">
        <v>14</v>
      </c>
      <c r="G107" s="5"/>
      <c r="H107" s="8" t="s">
        <v>27</v>
      </c>
      <c r="I107" s="7">
        <v>0.99025969999999996</v>
      </c>
      <c r="J107" s="7">
        <v>106</v>
      </c>
      <c r="K107" s="7">
        <v>9</v>
      </c>
    </row>
    <row r="108" spans="1:12" hidden="1">
      <c r="A108" s="5">
        <v>10284934</v>
      </c>
      <c r="B108" s="5">
        <v>10284934</v>
      </c>
      <c r="C108" s="5">
        <v>16656589</v>
      </c>
      <c r="D108" s="17" t="s">
        <v>166</v>
      </c>
      <c r="E108" s="17" t="s">
        <v>40</v>
      </c>
      <c r="F108" s="17" t="s">
        <v>14</v>
      </c>
      <c r="G108" s="17" t="s">
        <v>167</v>
      </c>
      <c r="H108" s="18" t="s">
        <v>27</v>
      </c>
      <c r="I108" s="19">
        <v>0.99020359999999996</v>
      </c>
      <c r="J108" s="7">
        <v>107</v>
      </c>
      <c r="K108" s="7">
        <v>9</v>
      </c>
    </row>
    <row r="109" spans="1:12" hidden="1">
      <c r="A109" s="5">
        <v>13810687</v>
      </c>
      <c r="B109" s="5">
        <v>13810687</v>
      </c>
      <c r="C109" s="5">
        <v>45347111</v>
      </c>
      <c r="D109" s="5" t="s">
        <v>168</v>
      </c>
      <c r="E109" s="5" t="s">
        <v>13</v>
      </c>
      <c r="F109" s="5" t="s">
        <v>14</v>
      </c>
      <c r="G109" s="5"/>
      <c r="H109" s="8" t="s">
        <v>27</v>
      </c>
      <c r="I109" s="7">
        <v>0.99019999999999997</v>
      </c>
      <c r="J109" s="7">
        <v>108</v>
      </c>
      <c r="K109" s="7">
        <v>9</v>
      </c>
    </row>
    <row r="110" spans="1:12" hidden="1">
      <c r="A110" s="5">
        <v>13115107</v>
      </c>
      <c r="B110" s="5">
        <v>13115107</v>
      </c>
      <c r="C110" s="5">
        <v>23254383</v>
      </c>
      <c r="D110" s="5" t="s">
        <v>169</v>
      </c>
      <c r="E110" s="5" t="s">
        <v>13</v>
      </c>
      <c r="F110" s="5" t="s">
        <v>14</v>
      </c>
      <c r="G110" s="5"/>
      <c r="H110" s="8" t="s">
        <v>27</v>
      </c>
      <c r="I110" s="7">
        <v>0.99010973999999996</v>
      </c>
      <c r="J110" s="7">
        <v>109</v>
      </c>
      <c r="K110" s="7">
        <v>9</v>
      </c>
    </row>
    <row r="111" spans="1:12" hidden="1">
      <c r="A111" s="5">
        <v>13123092</v>
      </c>
      <c r="B111" s="5">
        <v>13123092</v>
      </c>
      <c r="C111" s="5">
        <v>43659047</v>
      </c>
      <c r="D111" s="5" t="s">
        <v>170</v>
      </c>
      <c r="E111" s="5" t="s">
        <v>13</v>
      </c>
      <c r="F111" s="5" t="s">
        <v>14</v>
      </c>
      <c r="G111" s="5"/>
      <c r="H111" s="8" t="s">
        <v>27</v>
      </c>
      <c r="I111" s="7">
        <v>0.99008419999999997</v>
      </c>
      <c r="J111" s="7">
        <v>110</v>
      </c>
      <c r="K111" s="7">
        <v>9</v>
      </c>
    </row>
    <row r="112" spans="1:12" hidden="1">
      <c r="A112" s="5">
        <v>10865049</v>
      </c>
      <c r="B112" s="5">
        <v>10865049</v>
      </c>
      <c r="C112" s="5">
        <v>80470962</v>
      </c>
      <c r="D112" s="5" t="s">
        <v>171</v>
      </c>
      <c r="E112" s="5" t="s">
        <v>40</v>
      </c>
      <c r="F112" s="5" t="s">
        <v>14</v>
      </c>
      <c r="G112" s="5"/>
      <c r="H112" s="8" t="s">
        <v>27</v>
      </c>
      <c r="I112" s="7">
        <v>0.98992440000000004</v>
      </c>
      <c r="J112" s="7">
        <v>111</v>
      </c>
      <c r="K112" s="7">
        <v>10</v>
      </c>
    </row>
    <row r="113" spans="1:11" hidden="1">
      <c r="A113" s="5">
        <v>14409943</v>
      </c>
      <c r="B113" s="5">
        <v>14409943</v>
      </c>
      <c r="C113" s="5">
        <v>73309424</v>
      </c>
      <c r="D113" s="5" t="s">
        <v>172</v>
      </c>
      <c r="E113" s="5" t="s">
        <v>22</v>
      </c>
      <c r="F113" s="5" t="s">
        <v>34</v>
      </c>
      <c r="G113" s="5" t="s">
        <v>48</v>
      </c>
      <c r="H113" s="7" t="s">
        <v>34</v>
      </c>
      <c r="I113" s="7">
        <v>0.98975486000000001</v>
      </c>
      <c r="J113" s="7">
        <v>112</v>
      </c>
      <c r="K113" s="7">
        <v>10</v>
      </c>
    </row>
    <row r="114" spans="1:11" hidden="1">
      <c r="A114" s="5">
        <v>12474938</v>
      </c>
      <c r="B114" s="5">
        <v>12474938</v>
      </c>
      <c r="C114" s="5">
        <v>44745063</v>
      </c>
      <c r="D114" s="5" t="s">
        <v>173</v>
      </c>
      <c r="E114" s="5" t="s">
        <v>33</v>
      </c>
      <c r="F114" s="5" t="s">
        <v>34</v>
      </c>
      <c r="G114" s="5"/>
      <c r="H114" s="8" t="s">
        <v>27</v>
      </c>
      <c r="I114" s="7">
        <v>0.98968679999999998</v>
      </c>
      <c r="J114" s="7">
        <v>113</v>
      </c>
      <c r="K114" s="7">
        <v>10</v>
      </c>
    </row>
    <row r="115" spans="1:11" hidden="1">
      <c r="A115" s="5">
        <v>13585488</v>
      </c>
      <c r="B115" s="5">
        <v>13585488</v>
      </c>
      <c r="C115" s="5">
        <v>9948087</v>
      </c>
      <c r="D115" s="5" t="s">
        <v>174</v>
      </c>
      <c r="E115" s="5" t="s">
        <v>18</v>
      </c>
      <c r="F115" s="5" t="s">
        <v>19</v>
      </c>
      <c r="G115" s="5"/>
      <c r="H115" s="8" t="s">
        <v>16</v>
      </c>
      <c r="I115" s="7">
        <v>0.98968350000000005</v>
      </c>
      <c r="J115" s="7">
        <v>114</v>
      </c>
      <c r="K115" s="7">
        <v>10</v>
      </c>
    </row>
    <row r="116" spans="1:11" hidden="1">
      <c r="A116" s="5">
        <v>17064600</v>
      </c>
      <c r="B116" s="5">
        <v>17064600</v>
      </c>
      <c r="C116" s="5">
        <v>80374239</v>
      </c>
      <c r="D116" s="5" t="s">
        <v>175</v>
      </c>
      <c r="E116" s="5" t="s">
        <v>26</v>
      </c>
      <c r="F116" s="5" t="s">
        <v>27</v>
      </c>
      <c r="G116" s="5" t="s">
        <v>107</v>
      </c>
      <c r="H116" s="7" t="s">
        <v>27</v>
      </c>
      <c r="I116" s="7">
        <v>0.98964953</v>
      </c>
      <c r="J116" s="7">
        <v>115</v>
      </c>
      <c r="K116" s="7">
        <v>10</v>
      </c>
    </row>
    <row r="117" spans="1:11" hidden="1">
      <c r="A117" s="5">
        <v>10938051</v>
      </c>
      <c r="B117" s="5">
        <v>10938051</v>
      </c>
      <c r="C117" s="5">
        <v>80518003</v>
      </c>
      <c r="D117" s="5" t="s">
        <v>176</v>
      </c>
      <c r="E117" s="5" t="s">
        <v>40</v>
      </c>
      <c r="F117" s="5" t="s">
        <v>19</v>
      </c>
      <c r="G117" s="5"/>
      <c r="H117" s="8" t="s">
        <v>16</v>
      </c>
      <c r="I117" s="7">
        <v>0.98958670000000004</v>
      </c>
      <c r="J117" s="7">
        <v>116</v>
      </c>
      <c r="K117" s="7">
        <v>10</v>
      </c>
    </row>
    <row r="118" spans="1:11" hidden="1">
      <c r="A118" s="5">
        <v>10399811</v>
      </c>
      <c r="B118" s="5">
        <v>10399811</v>
      </c>
      <c r="C118" s="5">
        <v>10328487</v>
      </c>
      <c r="D118" s="5" t="s">
        <v>177</v>
      </c>
      <c r="E118" s="5" t="s">
        <v>40</v>
      </c>
      <c r="F118" s="5" t="s">
        <v>19</v>
      </c>
      <c r="G118" s="5"/>
      <c r="H118" s="8" t="s">
        <v>16</v>
      </c>
      <c r="I118" s="7">
        <v>0.98956</v>
      </c>
      <c r="J118" s="7">
        <v>117</v>
      </c>
      <c r="K118" s="7">
        <v>10</v>
      </c>
    </row>
    <row r="119" spans="1:11" hidden="1">
      <c r="A119" s="5">
        <v>14314749</v>
      </c>
      <c r="B119" s="5">
        <v>14314749</v>
      </c>
      <c r="C119" s="5">
        <v>42147020</v>
      </c>
      <c r="D119" s="5" t="s">
        <v>178</v>
      </c>
      <c r="E119" s="5" t="s">
        <v>22</v>
      </c>
      <c r="F119" s="5" t="s">
        <v>34</v>
      </c>
      <c r="G119" s="5" t="s">
        <v>179</v>
      </c>
      <c r="H119" s="7" t="s">
        <v>27</v>
      </c>
      <c r="I119" s="7">
        <v>0.98955669999999996</v>
      </c>
      <c r="J119" s="7">
        <v>118</v>
      </c>
      <c r="K119" s="7">
        <v>10</v>
      </c>
    </row>
    <row r="120" spans="1:11" hidden="1">
      <c r="A120" s="5">
        <v>17823214</v>
      </c>
      <c r="B120" s="5">
        <v>17823214</v>
      </c>
      <c r="C120" s="5">
        <v>23930243</v>
      </c>
      <c r="D120" s="5" t="s">
        <v>180</v>
      </c>
      <c r="E120" s="5" t="s">
        <v>36</v>
      </c>
      <c r="F120" s="5" t="s">
        <v>14</v>
      </c>
      <c r="G120" s="5"/>
      <c r="H120" s="8" t="s">
        <v>27</v>
      </c>
      <c r="I120" s="7">
        <v>0.98948913999999999</v>
      </c>
      <c r="J120" s="7">
        <v>119</v>
      </c>
      <c r="K120" s="7">
        <v>10</v>
      </c>
    </row>
    <row r="121" spans="1:11" hidden="1">
      <c r="A121" s="5">
        <v>14784446</v>
      </c>
      <c r="B121" s="5">
        <v>14784446</v>
      </c>
      <c r="C121" s="5">
        <v>73872582</v>
      </c>
      <c r="D121" s="5" t="s">
        <v>181</v>
      </c>
      <c r="E121" s="5" t="s">
        <v>26</v>
      </c>
      <c r="F121" s="5" t="s">
        <v>27</v>
      </c>
      <c r="G121" s="5" t="s">
        <v>28</v>
      </c>
      <c r="H121" s="7" t="s">
        <v>27</v>
      </c>
      <c r="I121" s="7">
        <v>0.98946904999999996</v>
      </c>
      <c r="J121" s="7">
        <v>120</v>
      </c>
      <c r="K121" s="7">
        <v>10</v>
      </c>
    </row>
    <row r="122" spans="1:11" hidden="1">
      <c r="A122" s="5">
        <v>15667619</v>
      </c>
      <c r="B122" s="5">
        <v>15667619</v>
      </c>
      <c r="C122" s="5">
        <v>76577840</v>
      </c>
      <c r="D122" s="5" t="s">
        <v>182</v>
      </c>
      <c r="E122" s="5" t="s">
        <v>26</v>
      </c>
      <c r="F122" s="5" t="s">
        <v>16</v>
      </c>
      <c r="G122" s="5"/>
      <c r="H122" s="8" t="s">
        <v>16</v>
      </c>
      <c r="I122" s="7">
        <v>0.98946599999999996</v>
      </c>
      <c r="J122" s="7">
        <v>121</v>
      </c>
      <c r="K122" s="7">
        <v>10</v>
      </c>
    </row>
    <row r="123" spans="1:11" hidden="1">
      <c r="A123" s="5">
        <v>19940252</v>
      </c>
      <c r="B123" s="5">
        <v>19940252</v>
      </c>
      <c r="C123" s="5">
        <v>76096916</v>
      </c>
      <c r="D123" s="5" t="s">
        <v>183</v>
      </c>
      <c r="E123" s="5" t="s">
        <v>13</v>
      </c>
      <c r="F123" s="5" t="s">
        <v>14</v>
      </c>
      <c r="G123" s="5"/>
      <c r="H123" s="8" t="s">
        <v>27</v>
      </c>
      <c r="I123" s="7">
        <v>0.98943126000000003</v>
      </c>
      <c r="J123" s="7">
        <v>122</v>
      </c>
      <c r="K123" s="7">
        <v>10</v>
      </c>
    </row>
  </sheetData>
  <autoFilter ref="A1:L123" xr:uid="{62AC46B1-185F-4AFF-8662-EF64C0103D43}">
    <filterColumn colId="6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889E-A30D-4410-A330-B86C955FC2D1}">
  <dimension ref="A1:C30"/>
  <sheetViews>
    <sheetView workbookViewId="0">
      <selection activeCell="C3" sqref="C3"/>
    </sheetView>
  </sheetViews>
  <sheetFormatPr defaultColWidth="11.42578125" defaultRowHeight="14.45"/>
  <sheetData>
    <row r="1" spans="1:3">
      <c r="A1" s="20" t="s">
        <v>184</v>
      </c>
      <c r="B1" s="20" t="s">
        <v>185</v>
      </c>
    </row>
    <row r="2" spans="1:3">
      <c r="A2" s="21" t="s">
        <v>186</v>
      </c>
      <c r="B2" s="20" t="s">
        <v>184</v>
      </c>
      <c r="C2" s="20" t="s">
        <v>185</v>
      </c>
    </row>
    <row r="3" spans="1:3">
      <c r="A3" s="22">
        <v>1</v>
      </c>
      <c r="B3" s="23">
        <v>12168387</v>
      </c>
      <c r="C3" s="23" t="s">
        <v>187</v>
      </c>
    </row>
    <row r="4" spans="1:3">
      <c r="A4" s="22">
        <v>2</v>
      </c>
      <c r="B4" s="23">
        <v>9436194</v>
      </c>
      <c r="C4" s="23" t="s">
        <v>188</v>
      </c>
    </row>
    <row r="5" spans="1:3">
      <c r="A5" s="22">
        <v>3</v>
      </c>
      <c r="B5" s="23">
        <v>11851541</v>
      </c>
      <c r="C5" s="23" t="s">
        <v>189</v>
      </c>
    </row>
    <row r="6" spans="1:3">
      <c r="A6" s="22">
        <v>4</v>
      </c>
      <c r="B6" s="23">
        <v>11767818</v>
      </c>
      <c r="C6" s="23" t="s">
        <v>190</v>
      </c>
    </row>
    <row r="7" spans="1:3">
      <c r="A7" s="22">
        <v>5</v>
      </c>
      <c r="B7" s="23">
        <v>14937506</v>
      </c>
      <c r="C7" s="23" t="s">
        <v>191</v>
      </c>
    </row>
    <row r="8" spans="1:3">
      <c r="A8" s="22">
        <v>6</v>
      </c>
      <c r="B8" s="23">
        <v>13871357</v>
      </c>
      <c r="C8" s="23" t="s">
        <v>192</v>
      </c>
    </row>
    <row r="9" spans="1:3">
      <c r="A9" s="22">
        <v>7</v>
      </c>
      <c r="B9" s="23">
        <v>10235507</v>
      </c>
      <c r="C9" s="23" t="s">
        <v>193</v>
      </c>
    </row>
    <row r="10" spans="1:3">
      <c r="A10" s="22">
        <v>8</v>
      </c>
      <c r="B10" s="23">
        <v>13199373</v>
      </c>
      <c r="C10" s="23" t="s">
        <v>187</v>
      </c>
    </row>
    <row r="11" spans="1:3">
      <c r="A11" s="22">
        <v>9</v>
      </c>
      <c r="B11" s="23">
        <v>11464736</v>
      </c>
      <c r="C11" s="23" t="s">
        <v>190</v>
      </c>
    </row>
    <row r="12" spans="1:3">
      <c r="A12" s="22">
        <v>10</v>
      </c>
      <c r="B12" s="23">
        <v>16479861</v>
      </c>
      <c r="C12" s="23" t="s">
        <v>194</v>
      </c>
    </row>
    <row r="13" spans="1:3">
      <c r="A13" s="22">
        <v>11</v>
      </c>
      <c r="B13" s="23">
        <v>15458852</v>
      </c>
      <c r="C13" s="23" t="s">
        <v>194</v>
      </c>
    </row>
    <row r="14" spans="1:3">
      <c r="A14" s="22">
        <v>12</v>
      </c>
      <c r="B14" s="23">
        <v>15681866</v>
      </c>
      <c r="C14" s="23" t="s">
        <v>193</v>
      </c>
    </row>
    <row r="15" spans="1:3">
      <c r="A15" s="22">
        <v>13</v>
      </c>
      <c r="B15" s="23">
        <v>11471954</v>
      </c>
      <c r="C15" s="23" t="s">
        <v>190</v>
      </c>
    </row>
    <row r="16" spans="1:3">
      <c r="A16" s="22">
        <v>14</v>
      </c>
      <c r="B16" s="23">
        <v>12379177</v>
      </c>
      <c r="C16" s="23" t="s">
        <v>189</v>
      </c>
    </row>
    <row r="17" spans="1:3">
      <c r="A17" s="22">
        <v>15</v>
      </c>
      <c r="B17" s="23">
        <v>13186732</v>
      </c>
      <c r="C17" s="23" t="s">
        <v>195</v>
      </c>
    </row>
    <row r="18" spans="1:3">
      <c r="A18" s="22">
        <v>16</v>
      </c>
      <c r="B18" s="23">
        <v>15523553</v>
      </c>
      <c r="C18" s="23" t="s">
        <v>196</v>
      </c>
    </row>
    <row r="19" spans="1:3">
      <c r="A19" s="22">
        <v>17</v>
      </c>
      <c r="B19" s="23">
        <v>11073592</v>
      </c>
      <c r="C19" s="23" t="s">
        <v>189</v>
      </c>
    </row>
    <row r="20" spans="1:3">
      <c r="A20" s="22">
        <v>18</v>
      </c>
      <c r="B20" s="23">
        <v>11513557</v>
      </c>
      <c r="C20" s="23" t="s">
        <v>193</v>
      </c>
    </row>
    <row r="21" spans="1:3">
      <c r="A21" s="22">
        <v>19</v>
      </c>
      <c r="B21" s="23">
        <v>17993082</v>
      </c>
      <c r="C21" s="23" t="s">
        <v>189</v>
      </c>
    </row>
    <row r="22" spans="1:3">
      <c r="A22" s="22">
        <v>20</v>
      </c>
      <c r="B22" s="23">
        <v>15092682</v>
      </c>
      <c r="C22" s="23" t="s">
        <v>190</v>
      </c>
    </row>
    <row r="23" spans="1:3">
      <c r="A23" s="22">
        <v>21</v>
      </c>
      <c r="B23" s="23">
        <v>13019098</v>
      </c>
      <c r="C23" s="23" t="s">
        <v>195</v>
      </c>
    </row>
    <row r="24" spans="1:3">
      <c r="A24" s="22">
        <v>22</v>
      </c>
      <c r="B24" s="23">
        <v>7471808</v>
      </c>
      <c r="C24" s="23" t="s">
        <v>196</v>
      </c>
    </row>
    <row r="25" spans="1:3">
      <c r="A25" s="22">
        <v>23</v>
      </c>
      <c r="B25" s="23">
        <v>6481097</v>
      </c>
      <c r="C25" s="23" t="s">
        <v>196</v>
      </c>
    </row>
    <row r="26" spans="1:3">
      <c r="A26" s="22">
        <v>24</v>
      </c>
      <c r="B26" s="23">
        <v>13222658</v>
      </c>
      <c r="C26" s="23" t="s">
        <v>197</v>
      </c>
    </row>
    <row r="27" spans="1:3">
      <c r="A27" s="22">
        <v>25</v>
      </c>
      <c r="B27" s="23">
        <v>11446874</v>
      </c>
      <c r="C27" s="23" t="s">
        <v>189</v>
      </c>
    </row>
    <row r="28" spans="1:3">
      <c r="A28" s="22">
        <v>26</v>
      </c>
      <c r="B28" s="23">
        <v>14702163</v>
      </c>
      <c r="C28" s="23" t="s">
        <v>190</v>
      </c>
    </row>
    <row r="29" spans="1:3">
      <c r="A29" s="22">
        <v>27</v>
      </c>
      <c r="B29" s="23">
        <v>9889574</v>
      </c>
      <c r="C29" s="23" t="s">
        <v>187</v>
      </c>
    </row>
    <row r="30" spans="1:3">
      <c r="A30" s="22">
        <v>28</v>
      </c>
      <c r="B30" s="23">
        <v>10980475</v>
      </c>
      <c r="C30" s="2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Hernandez, Santiago Andres</dc:creator>
  <cp:keywords/>
  <dc:description/>
  <cp:lastModifiedBy>Ramos Calderon, Camila Estefani</cp:lastModifiedBy>
  <cp:revision/>
  <dcterms:created xsi:type="dcterms:W3CDTF">2026-06-23T20:33:08Z</dcterms:created>
  <dcterms:modified xsi:type="dcterms:W3CDTF">2026-06-23T22:07:10Z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d5bedeb1-b3ac-45db-91f7-453e06cfe2b0_Enabled">
    <vt:lpwstr>True</vt:lpwstr>
  </op:property>
  <op:property fmtid="{D5CDD505-2E9C-101B-9397-08002B2CF9AE}" pid="3" name="MSIP_Label_d5bedeb1-b3ac-45db-91f7-453e06cfe2b0_SiteId">
    <vt:lpwstr>360bc517-7aac-4c17-9907-4c5f13a12289</vt:lpwstr>
  </op:property>
  <op:property fmtid="{D5CDD505-2E9C-101B-9397-08002B2CF9AE}" pid="4" name="MSIP_Label_d5bedeb1-b3ac-45db-91f7-453e06cfe2b0_SetDate">
    <vt:lpwstr>2026-06-26T01:01:24Z</vt:lpwstr>
  </op:property>
  <op:property fmtid="{D5CDD505-2E9C-101B-9397-08002B2CF9AE}" pid="5" name="MSIP_Label_d5bedeb1-b3ac-45db-91f7-453e06cfe2b0_Name">
    <vt:lpwstr>Confidencial</vt:lpwstr>
  </op:property>
  <op:property fmtid="{D5CDD505-2E9C-101B-9397-08002B2CF9AE}" pid="6" name="MSIP_Label_d5bedeb1-b3ac-45db-91f7-453e06cfe2b0_ActionId">
    <vt:lpwstr>964b3cfb-d5ef-4455-ac52-cc36a4c34c6d</vt:lpwstr>
  </op:property>
  <op:property fmtid="{D5CDD505-2E9C-101B-9397-08002B2CF9AE}" pid="7" name="MSIP_Label_d5bedeb1-b3ac-45db-91f7-453e06cfe2b0_Removed">
    <vt:lpwstr>False</vt:lpwstr>
  </op:property>
  <op:property fmtid="{D5CDD505-2E9C-101B-9397-08002B2CF9AE}" pid="8" name="MSIP_Label_d5bedeb1-b3ac-45db-91f7-453e06cfe2b0_Parent">
    <vt:lpwstr/>
  </op:property>
  <op:property fmtid="{D5CDD505-2E9C-101B-9397-08002B2CF9AE}" pid="9" name="MSIP_Label_d5bedeb1-b3ac-45db-91f7-453e06cfe2b0_Extended_MSFT_Method">
    <vt:lpwstr>Standard</vt:lpwstr>
  </op:property>
  <op:property fmtid="{D5CDD505-2E9C-101B-9397-08002B2CF9AE}" pid="10" name="Sensitivity">
    <vt:lpwstr>Confidencial</vt:lpwstr>
  </op:property>
  <op:property fmtid="{D5CDD505-2E9C-101B-9397-08002B2CF9AE}" pid="11" name="KriptosClassAi">
    <vt:lpwstr>2-Confidencial</vt:lpwstr>
  </op:property>
</op:Properties>
</file>